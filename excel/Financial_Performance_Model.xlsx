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line/Documents/Documents - Jacqueline’s MacBook Pro/BCG_Financial_Analyst_Project/excel/"/>
    </mc:Choice>
  </mc:AlternateContent>
  <xr:revisionPtr revIDLastSave="0" documentId="8_{E7125072-AEFD-DD46-AA1A-69F87640E7E4}" xr6:coauthVersionLast="47" xr6:coauthVersionMax="47" xr10:uidLastSave="{00000000-0000-0000-0000-000000000000}"/>
  <bookViews>
    <workbookView xWindow="380" yWindow="500" windowWidth="28040" windowHeight="16260" xr2:uid="{FEBD6318-DED9-5C42-B094-70957BC10EF5}"/>
  </bookViews>
  <sheets>
    <sheet name="Cases_Raw" sheetId="1" r:id="rId1"/>
    <sheet name="Invoices_Raw" sheetId="4" r:id="rId2"/>
    <sheet name="Calculations" sheetId="2" r:id="rId3"/>
    <sheet name="Summar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3" l="1"/>
  <c r="B23" i="3"/>
  <c r="B24" i="3"/>
  <c r="B21" i="3"/>
  <c r="D9" i="3" a="1"/>
  <c r="D9" i="3" s="1"/>
  <c r="B10" i="3"/>
  <c r="B11" i="3"/>
  <c r="B12" i="3"/>
  <c r="B9" i="3"/>
  <c r="C6" i="3"/>
  <c r="B6" i="3"/>
  <c r="A6" i="3"/>
  <c r="X3" i="2"/>
  <c r="X4" i="2"/>
  <c r="Y4" i="2" s="1"/>
  <c r="X5" i="2"/>
  <c r="Y5" i="2" s="1"/>
  <c r="X6" i="2"/>
  <c r="Y6" i="2" s="1"/>
  <c r="X7" i="2"/>
  <c r="Y7" i="2" s="1"/>
  <c r="X8" i="2"/>
  <c r="Y8" i="2" s="1"/>
  <c r="X9" i="2"/>
  <c r="X10" i="2"/>
  <c r="X11" i="2"/>
  <c r="Y11" i="2" s="1"/>
  <c r="X12" i="2"/>
  <c r="X13" i="2"/>
  <c r="X14" i="2"/>
  <c r="Y14" i="2" s="1"/>
  <c r="X15" i="2"/>
  <c r="X16" i="2"/>
  <c r="Y16" i="2" s="1"/>
  <c r="X17" i="2"/>
  <c r="X18" i="2"/>
  <c r="Y18" i="2" s="1"/>
  <c r="X19" i="2"/>
  <c r="Y19" i="2" s="1"/>
  <c r="X20" i="2"/>
  <c r="Y20" i="2" s="1"/>
  <c r="X21" i="2"/>
  <c r="Y21" i="2" s="1"/>
  <c r="X22" i="2"/>
  <c r="Y22" i="2" s="1"/>
  <c r="X23" i="2"/>
  <c r="Y23" i="2" s="1"/>
  <c r="X24" i="2"/>
  <c r="Y24" i="2" s="1"/>
  <c r="X25" i="2"/>
  <c r="Y25" i="2" s="1"/>
  <c r="X26" i="2"/>
  <c r="Y26" i="2" s="1"/>
  <c r="X27" i="2"/>
  <c r="Y27" i="2" s="1"/>
  <c r="X28" i="2"/>
  <c r="Y28" i="2" s="1"/>
  <c r="X29" i="2"/>
  <c r="X30" i="2"/>
  <c r="Y30" i="2" s="1"/>
  <c r="X31" i="2"/>
  <c r="Y31" i="2" s="1"/>
  <c r="X32" i="2"/>
  <c r="Y32" i="2" s="1"/>
  <c r="X33" i="2"/>
  <c r="Y33" i="2" s="1"/>
  <c r="X34" i="2"/>
  <c r="Y34" i="2" s="1"/>
  <c r="X35" i="2"/>
  <c r="Y35" i="2" s="1"/>
  <c r="X36" i="2"/>
  <c r="Y36" i="2" s="1"/>
  <c r="X37" i="2"/>
  <c r="Y37" i="2" s="1"/>
  <c r="X38" i="2"/>
  <c r="Y38" i="2" s="1"/>
  <c r="X39" i="2"/>
  <c r="Y39" i="2" s="1"/>
  <c r="X40" i="2"/>
  <c r="X41" i="2"/>
  <c r="Y41" i="2" s="1"/>
  <c r="X42" i="2"/>
  <c r="Y42" i="2" s="1"/>
  <c r="X43" i="2"/>
  <c r="Y43" i="2" s="1"/>
  <c r="X44" i="2"/>
  <c r="Y44" i="2" s="1"/>
  <c r="X45" i="2"/>
  <c r="Y45" i="2" s="1"/>
  <c r="X46" i="2"/>
  <c r="Y46" i="2" s="1"/>
  <c r="X47" i="2"/>
  <c r="Y47" i="2" s="1"/>
  <c r="X48" i="2"/>
  <c r="Y48" i="2" s="1"/>
  <c r="X49" i="2"/>
  <c r="Y49" i="2" s="1"/>
  <c r="X50" i="2"/>
  <c r="Y50" i="2" s="1"/>
  <c r="X51" i="2"/>
  <c r="Y51" i="2" s="1"/>
  <c r="X52" i="2"/>
  <c r="Y52" i="2" s="1"/>
  <c r="X53" i="2"/>
  <c r="Y53" i="2" s="1"/>
  <c r="X54" i="2"/>
  <c r="Y54" i="2" s="1"/>
  <c r="X55" i="2"/>
  <c r="Y55" i="2" s="1"/>
  <c r="X56" i="2"/>
  <c r="Y56" i="2" s="1"/>
  <c r="X57" i="2"/>
  <c r="Y57" i="2" s="1"/>
  <c r="X58" i="2"/>
  <c r="Y58" i="2" s="1"/>
  <c r="X59" i="2"/>
  <c r="Y59" i="2" s="1"/>
  <c r="X60" i="2"/>
  <c r="Y60" i="2" s="1"/>
  <c r="X61" i="2"/>
  <c r="Y61" i="2" s="1"/>
  <c r="X2" i="2"/>
  <c r="Y13" i="2"/>
  <c r="Y15" i="2"/>
  <c r="Y17" i="2"/>
  <c r="Y29" i="2"/>
  <c r="Y40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V3" i="2"/>
  <c r="V5" i="2"/>
  <c r="V6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8" i="2"/>
  <c r="V29" i="2"/>
  <c r="V30" i="2"/>
  <c r="V31" i="2"/>
  <c r="V32" i="2"/>
  <c r="V33" i="2"/>
  <c r="V35" i="2"/>
  <c r="V37" i="2"/>
  <c r="V38" i="2"/>
  <c r="V39" i="2"/>
  <c r="V40" i="2"/>
  <c r="V41" i="2"/>
  <c r="V42" i="2"/>
  <c r="V43" i="2"/>
  <c r="V44" i="2"/>
  <c r="V45" i="2"/>
  <c r="V46" i="2"/>
  <c r="V47" i="2"/>
  <c r="V48" i="2"/>
  <c r="V50" i="2"/>
  <c r="V52" i="2"/>
  <c r="V53" i="2"/>
  <c r="V54" i="2"/>
  <c r="V55" i="2"/>
  <c r="V58" i="2"/>
  <c r="V59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R2" i="2"/>
  <c r="S2" i="2"/>
  <c r="T2" i="2"/>
  <c r="U2" i="2"/>
  <c r="V2" i="2"/>
  <c r="R3" i="2"/>
  <c r="S3" i="2"/>
  <c r="U3" i="2"/>
  <c r="R4" i="2"/>
  <c r="S4" i="2"/>
  <c r="U4" i="2"/>
  <c r="R5" i="2"/>
  <c r="S5" i="2"/>
  <c r="U5" i="2"/>
  <c r="R6" i="2"/>
  <c r="S6" i="2"/>
  <c r="U6" i="2"/>
  <c r="R7" i="2"/>
  <c r="S7" i="2"/>
  <c r="U7" i="2"/>
  <c r="R8" i="2"/>
  <c r="S8" i="2"/>
  <c r="U8" i="2"/>
  <c r="R9" i="2"/>
  <c r="S9" i="2"/>
  <c r="U9" i="2"/>
  <c r="R10" i="2"/>
  <c r="S10" i="2"/>
  <c r="U10" i="2"/>
  <c r="R11" i="2"/>
  <c r="S11" i="2"/>
  <c r="U11" i="2"/>
  <c r="R12" i="2"/>
  <c r="S12" i="2"/>
  <c r="U12" i="2"/>
  <c r="R13" i="2"/>
  <c r="S13" i="2"/>
  <c r="U13" i="2"/>
  <c r="R14" i="2"/>
  <c r="S14" i="2"/>
  <c r="U14" i="2"/>
  <c r="R15" i="2"/>
  <c r="S15" i="2"/>
  <c r="U15" i="2"/>
  <c r="R16" i="2"/>
  <c r="S16" i="2"/>
  <c r="U16" i="2"/>
  <c r="R17" i="2"/>
  <c r="S17" i="2"/>
  <c r="U17" i="2"/>
  <c r="R18" i="2"/>
  <c r="S18" i="2"/>
  <c r="U18" i="2"/>
  <c r="R19" i="2"/>
  <c r="S19" i="2"/>
  <c r="U19" i="2"/>
  <c r="R20" i="2"/>
  <c r="S20" i="2"/>
  <c r="U20" i="2"/>
  <c r="R21" i="2"/>
  <c r="S21" i="2"/>
  <c r="U21" i="2"/>
  <c r="R22" i="2"/>
  <c r="S22" i="2"/>
  <c r="U22" i="2"/>
  <c r="R23" i="2"/>
  <c r="S23" i="2"/>
  <c r="U23" i="2"/>
  <c r="R24" i="2"/>
  <c r="S24" i="2"/>
  <c r="U24" i="2"/>
  <c r="R25" i="2"/>
  <c r="S25" i="2"/>
  <c r="U25" i="2"/>
  <c r="R26" i="2"/>
  <c r="S26" i="2"/>
  <c r="U26" i="2"/>
  <c r="R27" i="2"/>
  <c r="S27" i="2"/>
  <c r="U27" i="2"/>
  <c r="R28" i="2"/>
  <c r="S28" i="2"/>
  <c r="U28" i="2"/>
  <c r="R29" i="2"/>
  <c r="S29" i="2"/>
  <c r="U29" i="2"/>
  <c r="R30" i="2"/>
  <c r="S30" i="2"/>
  <c r="U30" i="2"/>
  <c r="R31" i="2"/>
  <c r="S31" i="2"/>
  <c r="U31" i="2"/>
  <c r="R32" i="2"/>
  <c r="S32" i="2"/>
  <c r="U32" i="2"/>
  <c r="R33" i="2"/>
  <c r="S33" i="2"/>
  <c r="U33" i="2"/>
  <c r="R34" i="2"/>
  <c r="S34" i="2"/>
  <c r="U34" i="2"/>
  <c r="R35" i="2"/>
  <c r="S35" i="2"/>
  <c r="U35" i="2"/>
  <c r="R36" i="2"/>
  <c r="S36" i="2"/>
  <c r="U36" i="2"/>
  <c r="R37" i="2"/>
  <c r="S37" i="2"/>
  <c r="U37" i="2"/>
  <c r="R38" i="2"/>
  <c r="S38" i="2"/>
  <c r="U38" i="2"/>
  <c r="R39" i="2"/>
  <c r="S39" i="2"/>
  <c r="U39" i="2"/>
  <c r="R40" i="2"/>
  <c r="S40" i="2"/>
  <c r="U40" i="2"/>
  <c r="R41" i="2"/>
  <c r="S41" i="2"/>
  <c r="U41" i="2"/>
  <c r="R42" i="2"/>
  <c r="S42" i="2"/>
  <c r="U42" i="2"/>
  <c r="R43" i="2"/>
  <c r="S43" i="2"/>
  <c r="U43" i="2"/>
  <c r="R44" i="2"/>
  <c r="S44" i="2"/>
  <c r="U44" i="2"/>
  <c r="R45" i="2"/>
  <c r="S45" i="2"/>
  <c r="U45" i="2"/>
  <c r="R46" i="2"/>
  <c r="S46" i="2"/>
  <c r="U46" i="2"/>
  <c r="R47" i="2"/>
  <c r="S47" i="2"/>
  <c r="U47" i="2"/>
  <c r="R48" i="2"/>
  <c r="S48" i="2"/>
  <c r="U48" i="2"/>
  <c r="R49" i="2"/>
  <c r="S49" i="2"/>
  <c r="U49" i="2"/>
  <c r="R50" i="2"/>
  <c r="S50" i="2"/>
  <c r="U50" i="2"/>
  <c r="R51" i="2"/>
  <c r="S51" i="2"/>
  <c r="U51" i="2"/>
  <c r="R52" i="2"/>
  <c r="S52" i="2"/>
  <c r="U52" i="2"/>
  <c r="R53" i="2"/>
  <c r="S53" i="2"/>
  <c r="U53" i="2"/>
  <c r="R54" i="2"/>
  <c r="S54" i="2"/>
  <c r="U54" i="2"/>
  <c r="R55" i="2"/>
  <c r="S55" i="2"/>
  <c r="U55" i="2"/>
  <c r="R56" i="2"/>
  <c r="S56" i="2"/>
  <c r="U56" i="2"/>
  <c r="R57" i="2"/>
  <c r="S57" i="2"/>
  <c r="U57" i="2"/>
  <c r="R58" i="2"/>
  <c r="S58" i="2"/>
  <c r="U58" i="2"/>
  <c r="R59" i="2"/>
  <c r="S59" i="2"/>
  <c r="U59" i="2"/>
  <c r="R60" i="2"/>
  <c r="S60" i="2"/>
  <c r="U60" i="2"/>
  <c r="R61" i="2"/>
  <c r="S61" i="2"/>
  <c r="U61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W2" i="2"/>
  <c r="Q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E3" i="2"/>
  <c r="E4" i="2"/>
  <c r="E5" i="2"/>
  <c r="E6" i="2"/>
  <c r="E7" i="2"/>
  <c r="F7" i="2" s="1"/>
  <c r="E8" i="2"/>
  <c r="F8" i="2" s="1"/>
  <c r="E9" i="2"/>
  <c r="E10" i="2"/>
  <c r="F10" i="2" s="1"/>
  <c r="E11" i="2"/>
  <c r="E12" i="2"/>
  <c r="E13" i="2"/>
  <c r="E14" i="2"/>
  <c r="E15" i="2"/>
  <c r="E16" i="2"/>
  <c r="E17" i="2"/>
  <c r="E18" i="2"/>
  <c r="F18" i="2" s="1"/>
  <c r="E19" i="2"/>
  <c r="E20" i="2"/>
  <c r="E21" i="2"/>
  <c r="E22" i="2"/>
  <c r="E23" i="2"/>
  <c r="E24" i="2"/>
  <c r="E25" i="2"/>
  <c r="E26" i="2"/>
  <c r="F26" i="2" s="1"/>
  <c r="E27" i="2"/>
  <c r="E28" i="2"/>
  <c r="E29" i="2"/>
  <c r="E30" i="2"/>
  <c r="E31" i="2"/>
  <c r="F31" i="2" s="1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2" i="2"/>
  <c r="F3" i="2"/>
  <c r="F4" i="2"/>
  <c r="F5" i="2"/>
  <c r="F6" i="2"/>
  <c r="F9" i="2"/>
  <c r="F11" i="2"/>
  <c r="F12" i="2"/>
  <c r="F13" i="2"/>
  <c r="F14" i="2"/>
  <c r="F15" i="2"/>
  <c r="F16" i="2"/>
  <c r="F17" i="2"/>
  <c r="F19" i="2"/>
  <c r="F20" i="2"/>
  <c r="F21" i="2"/>
  <c r="F22" i="2"/>
  <c r="F23" i="2"/>
  <c r="F24" i="2"/>
  <c r="F27" i="2"/>
  <c r="F28" i="2"/>
  <c r="F29" i="2"/>
  <c r="F30" i="2"/>
  <c r="F2" i="2"/>
  <c r="D6" i="3" l="1"/>
  <c r="B3" i="3"/>
  <c r="Y3" i="2"/>
  <c r="Y10" i="2"/>
  <c r="Y12" i="2"/>
  <c r="Y9" i="2"/>
  <c r="F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<sst xmlns="http://schemas.openxmlformats.org/spreadsheetml/2006/main" count="337" uniqueCount="148">
  <si>
    <t>Case_ID</t>
  </si>
  <si>
    <t>Client</t>
  </si>
  <si>
    <t>Practice_Area</t>
  </si>
  <si>
    <t>Start_Date</t>
  </si>
  <si>
    <t>End_Date</t>
  </si>
  <si>
    <t>Budget_Hours</t>
  </si>
  <si>
    <t>Actual_Hours</t>
  </si>
  <si>
    <t>Standard_Rate</t>
  </si>
  <si>
    <t>Cost_Rate</t>
  </si>
  <si>
    <t>Budget_Fee</t>
  </si>
  <si>
    <t>Actual_Fee</t>
  </si>
  <si>
    <t>C001</t>
  </si>
  <si>
    <t>Alpha Health</t>
  </si>
  <si>
    <t>Financial Services</t>
  </si>
  <si>
    <t>C002</t>
  </si>
  <si>
    <t>C003</t>
  </si>
  <si>
    <t>Technology</t>
  </si>
  <si>
    <t>C004</t>
  </si>
  <si>
    <t>Healthcare</t>
  </si>
  <si>
    <t>C005</t>
  </si>
  <si>
    <t>Gamma Energy</t>
  </si>
  <si>
    <t>C006</t>
  </si>
  <si>
    <t>Theta Health</t>
  </si>
  <si>
    <t>C007</t>
  </si>
  <si>
    <t>Epsilon Tech</t>
  </si>
  <si>
    <t>C008</t>
  </si>
  <si>
    <t>C009</t>
  </si>
  <si>
    <t>Eta Consumer</t>
  </si>
  <si>
    <t>C010</t>
  </si>
  <si>
    <t>Beta Bank</t>
  </si>
  <si>
    <t>Consumer</t>
  </si>
  <si>
    <t>C011</t>
  </si>
  <si>
    <t>C012</t>
  </si>
  <si>
    <t>C013</t>
  </si>
  <si>
    <t>C014</t>
  </si>
  <si>
    <t>C015</t>
  </si>
  <si>
    <t>C016</t>
  </si>
  <si>
    <t>C017</t>
  </si>
  <si>
    <t>Delta Retail</t>
  </si>
  <si>
    <t>C018</t>
  </si>
  <si>
    <t>C019</t>
  </si>
  <si>
    <t>C020</t>
  </si>
  <si>
    <t>C021</t>
  </si>
  <si>
    <t>Zeta Financial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</si>
  <si>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</si>
  <si>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</si>
  <si>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</si>
  <si>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</si>
  <si>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</si>
  <si>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</si>
  <si>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</si>
  <si>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</si>
  <si>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</si>
  <si>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Invoice_ID</t>
  </si>
  <si>
    <t>Invoice_Date</t>
  </si>
  <si>
    <t>Amount</t>
  </si>
  <si>
    <t>Payment_Date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</si>
  <si>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</si>
  <si>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</si>
  <si>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</si>
  <si>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</si>
  <si>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</si>
  <si>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</si>
  <si>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</si>
  <si>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</si>
  <si>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</si>
  <si>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</si>
  <si>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</si>
  <si>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</si>
  <si>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</si>
  <si>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</si>
  <si>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</si>
  <si>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</si>
  <si>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</si>
  <si>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</si>
  <si>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</si>
  <si>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</si>
  <si>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</si>
  <si>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</si>
  <si>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</si>
  <si>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</si>
  <si>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</si>
  <si>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</si>
  <si>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</si>
  <si>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</si>
  <si>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</si>
  <si>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</si>
  <si>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</si>
  <si>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</si>
  <si>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</si>
  <si>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</si>
  <si>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</si>
  <si>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</si>
  <si>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</si>
  <si>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</si>
  <si>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</si>
  <si>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</si>
  <si>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</si>
  <si>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</si>
  <si>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</si>
  <si>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</si>
  <si>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</si>
  <si>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</si>
  <si>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</si>
  <si>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</si>
  <si>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</si>
  <si>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</si>
  <si>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INV051</t>
  </si>
  <si>
    <t>INV052</t>
  </si>
  <si>
    <t>INV053</t>
  </si>
  <si>
    <t>INV054</t>
  </si>
  <si>
    <t>INV055</t>
  </si>
  <si>
    <t>INV056</t>
  </si>
  <si>
    <t>INV057</t>
  </si>
  <si>
    <t>INV058</t>
  </si>
  <si>
    <t>INV059</t>
  </si>
  <si>
    <t>INV060</t>
  </si>
  <si>
    <t>Synthetic data created for portfolio/interview demonstration purposes. Not actual BCG data</t>
  </si>
  <si>
    <t>Practice Area</t>
  </si>
  <si>
    <t>Budget Hours</t>
  </si>
  <si>
    <t>Actual Hours</t>
  </si>
  <si>
    <t>Hours Variance %</t>
  </si>
  <si>
    <t>Budget Fee</t>
  </si>
  <si>
    <t>Actual Fee</t>
  </si>
  <si>
    <t>Fee Variance %</t>
  </si>
  <si>
    <t>Standard Rate Value</t>
  </si>
  <si>
    <t>Realization</t>
  </si>
  <si>
    <t>Cost Rate</t>
  </si>
  <si>
    <t>Labor Cost</t>
  </si>
  <si>
    <t>Gross Profit</t>
  </si>
  <si>
    <t>Gross Margin</t>
  </si>
  <si>
    <t>Payment_Status</t>
  </si>
  <si>
    <t>Days_Outstanding</t>
  </si>
  <si>
    <t>Aging_Bucket</t>
  </si>
  <si>
    <t>Reporting Date</t>
  </si>
  <si>
    <t>Average DSO</t>
  </si>
  <si>
    <t>Total Fees</t>
  </si>
  <si>
    <t>Average Realization</t>
  </si>
  <si>
    <t>Case</t>
  </si>
  <si>
    <t>Hours Variance</t>
  </si>
  <si>
    <t>Key Finding</t>
  </si>
  <si>
    <t>Healthcare has the highest average hours overrun and lower realization, indicating potential margin leakage.</t>
  </si>
  <si>
    <t>Aging Bucket</t>
  </si>
  <si>
    <t>Outstanding Amount</t>
  </si>
  <si>
    <t>0–30</t>
  </si>
  <si>
    <t>31–60</t>
  </si>
  <si>
    <t>61–90</t>
  </si>
  <si>
    <t>90+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</si>
</sst>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\ hh:mm:ss"/>
    <numFmt numFmtId="165" formatCode="0.0%"/>
    <numFmt numFmtId="166" formatCode="_(&quot;$&quot;* #,##0_);_(&quot;$&quot;* \(#,##0\);_(&quot;$&quot;* &quot;-&quot;??_);_(@_)"/>
    <numFmt numFmtId="167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5" fontId="0" fillId="0" borderId="0" xfId="1" applyNumberFormat="1" applyFont="1"/>
    <xf numFmtId="0" fontId="4" fillId="2" borderId="0" xfId="0" applyFont="1" applyFill="1"/>
    <xf numFmtId="165" fontId="4" fillId="2" borderId="0" xfId="1" applyNumberFormat="1" applyFont="1" applyFill="1"/>
    <xf numFmtId="166" fontId="4" fillId="2" borderId="0" xfId="2" applyNumberFormat="1" applyFont="1" applyFill="1"/>
    <xf numFmtId="166" fontId="0" fillId="0" borderId="0" xfId="2" applyNumberFormat="1" applyFont="1"/>
    <xf numFmtId="0" fontId="0" fillId="2" borderId="0" xfId="0" applyFill="1"/>
    <xf numFmtId="14" fontId="0" fillId="0" borderId="0" xfId="0" applyNumberFormat="1"/>
    <xf numFmtId="2" fontId="0" fillId="0" borderId="0" xfId="0" applyNumberFormat="1"/>
    <xf numFmtId="167" fontId="0" fillId="0" borderId="0" xfId="0" applyNumberFormat="1"/>
    <xf numFmtId="0" fontId="5" fillId="0" borderId="0" xfId="0" applyFont="1"/>
  </cellXfs>
  <cellStyles count="3">
    <cellStyle name="Currency" xfId="2" builtinId="4"/>
    <cellStyle name="Normal" xfId="0" builtinId="0"/>
    <cellStyle name="Percent" xfId="1" builtinId="5"/>
  </cellStyles>
  <dxfs count="9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Gross Margin by Practice Area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Summary!$B$8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Summary!$A$9:$A$12</c:f>
              <c:strCache>
                <c:ptCount val="4"/>
                <c:pt idx="0">
                  <c:v>Financial Services</c:v>
                </c:pt>
                <c:pt idx="1">
                  <c:v>Healthcare</c:v>
                </c:pt>
                <c:pt idx="2">
                  <c:v>Consumer</c:v>
                </c:pt>
                <c:pt idx="3">
                  <c:v>Technology</c:v>
                </c:pt>
              </c:strCache>
            </c:strRef>
          </c:cat>
          <c:val>
            <c:numRef>
              <c:f>Summary!$B$9:$B$12</c:f>
              <c:numCache>
                <c:formatCode>0.0%</c:formatCode>
                <c:ptCount val="4"/>
                <c:pt idx="0">
                  <c:v>0.45633638485011668</c:v>
                </c:pt>
                <c:pt idx="1">
                  <c:v>0.33829174035501408</c:v>
                </c:pt>
                <c:pt idx="2">
                  <c:v>0.42761567263974326</c:v>
                </c:pt>
                <c:pt idx="3">
                  <c:v>0.43493889288281812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D-F148-8FF6-653E92D7F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516656"/>
        <c:axId val="726518368"/>
      </c:barChart>
      <c:catAx>
        <c:axId val="72651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18368"/>
        <c:crosses val="autoZero"/>
        <c:auto val="1"/>
        <c:lblAlgn val="ctr"/>
        <c:lblOffset val="100"/>
        <c:noMultiLvlLbl val="0"/>
      </c:catAx>
      <c:valAx>
        <c:axId val="7265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1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Receivables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Summary!$B$20</c:f>
              <c:strCache>
                <c:ptCount val="1"/>
                <c:pt idx="0">
                  <c:v>Outstanding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Summary!$A$21:$A$24</c:f>
              <c:strCache>
                <c:ptCount val="4"/>
                <c:pt idx="0">
                  <c:v>0–30</c:v>
                </c:pt>
                <c:pt idx="1">
                  <c:v>31–60</c:v>
                </c:pt>
                <c:pt idx="2">
                  <c:v>61–90</c:v>
                </c:pt>
                <c:pt idx="3">
                  <c:v>90+</c:v>
                </c:pt>
              </c:strCache>
            </c:strRef>
          </c:cat>
          <c:val>
            <c:numRef>
              <c:f>Summary!$B$21:$B$24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E-B342-83BE-F94335B29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204512"/>
        <c:axId val="524581904"/>
      </c:barChart>
      <c:catAx>
        <c:axId val="52520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81904"/>
        <c:crosses val="autoZero"/>
        <c:auto val="1"/>
        <c:lblAlgn val="ctr"/>
        <c:lblOffset val="100"/>
        <c:noMultiLvlLbl val="0"/>
      </c:catAx>
      <c:valAx>
        <c:axId val="52458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0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0</xdr:row>
      <xdr:rowOff>0</xdr:rowOff>
    </xdr:from>
    <xdr:to>
      <xdr:col>15</xdr:col>
      <xdr:colOff>450850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8525E-75F7-CA15-1844-A30096969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1295400</xdr:colOff>
      <xdr:row>19</xdr:row>
      <xdr:rowOff>146050</xdr:rowOff>
    </xdr:from>
    <xdr:to>
      <xdr:col>8</xdr:col>
      <xdr:colOff>444500</xdr:colOff>
      <xdr:row>33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80E758-2C1B-3C26-5F47-219ACABA3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1480D-CFFD-0E40-B2AC-521E1C375B34}" name="Cases" displayName="Cases" ref="A1:K31" totalsRowShown="0" headerRowDxfId="8" headerRowBorderDxfId="7" tableBorderDxfId="6">
  <autoFilter ref="A1:K31" xr:uid="{3F01480D-CFFD-0E40-B2AC-521E1C375B34}"/>
  <tableColumns count="11">
    <tableColumn id="1" xr3:uid="{969F5AC9-BE4A-B64F-BCCA-E12AA131F739}" name="Case_ID"/>
    <tableColumn id="2" xr3:uid="{3DB6726F-5247-E542-86F9-91537CD23B45}" name="Client"/>
    <tableColumn id="3" xr3:uid="{84947BBA-3E50-D24D-81F8-976035AB4121}" name="Practice_Area"/>
    <tableColumn id="4" xr3:uid="{D89095CE-2F7E-2B49-8A34-70C3597BABD5}" name="Start_Date" dataDxfId="5"/>
    <tableColumn id="5" xr3:uid="{E6E64631-7AD8-AB45-AFD5-C60ADE2835F5}" name="End_Date" dataDxfId="4"/>
    <tableColumn id="6" xr3:uid="{0F0398F3-3A26-1D40-BE9F-02AF355CAB84}" name="Budget_Hours"/>
    <tableColumn id="7" xr3:uid="{079B8A9C-0A8D-774C-9FFF-DCA3BF3B8AEA}" name="Actual_Hours"/>
    <tableColumn id="8" xr3:uid="{7B05AAA9-6B08-BB43-BCD5-9E516228761A}" name="Standard_Rate"/>
    <tableColumn id="9" xr3:uid="{6165EC32-EE6E-0C4E-AB89-6EAD440276E1}" name="Cost_Rate"/>
    <tableColumn id="10" xr3:uid="{BDD5D505-8401-E64F-BFC4-2E7496B7DE44}" name="Budget_Fee"/>
    <tableColumn id="11" xr3:uid="{C170C9DC-1247-7849-843F-870198D4788A}" name="Actual_Fe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53F9C6-7A46-9446-A762-20330866877C}" name="Invoices" displayName="Invoices" ref="A1:F61" totalsRowShown="0" headerRowDxfId="3" headerRowBorderDxfId="2" tableBorderDxfId="1">
  <autoFilter ref="A1:F61" xr:uid="{D553F9C6-7A46-9446-A762-20330866877C}"/>
  <tableColumns count="6">
    <tableColumn id="1" xr3:uid="{12B654E3-B970-4840-AA5A-3B2B3E2B1FEE}" name="Invoice_ID"/>
    <tableColumn id="2" xr3:uid="{38286DB5-6685-794A-A3F3-8DC91321AF00}" name="Case_ID"/>
    <tableColumn id="3" xr3:uid="{A1F5B393-2AF2-C048-A0B0-F43B92A60088}" name="Client"/>
    <tableColumn id="4" xr3:uid="{6920F657-5A70-8D4B-A335-BCECB3C3CE24}" name="Invoice_Date" dataDxfId="0"/>
    <tableColumn id="5" xr3:uid="{F3CEAC08-C765-604B-B83B-8623504E4CAB}" name="Amount"/>
    <tableColumn id="6" xr3:uid="{315B86A9-1CEE-6F41-BC14-A103DC6653BF}" name="Payment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9C91-C236-3746-8F6D-3099505BFE5F}">
  <dimension ref="A1:M31"/>
  <sheetViews>
    <sheetView tabSelected="1" workbookViewId="0">
      <selection activeCell="M10" sqref="M10"/>
    </sheetView>
  </sheetViews>
  <sheetFormatPr baseColWidth="10" defaultRowHeight="16" x14ac:dyDescent="0.2"/>
  <cols>
    <col min="1" max="1" width="9.6640625" customWidth="1"/>
    <col min="2" max="2" width="13.1640625" bestFit="1" customWidth="1"/>
    <col min="3" max="3" width="15.83203125" bestFit="1" customWidth="1"/>
    <col min="4" max="5" width="18" bestFit="1" customWidth="1"/>
    <col min="6" max="6" width="14.33203125" customWidth="1"/>
    <col min="7" max="7" width="13.6640625" customWidth="1"/>
    <col min="8" max="8" width="14.6640625" customWidth="1"/>
    <col min="9" max="9" width="11.33203125" customWidth="1"/>
    <col min="10" max="10" width="12.5" customWidth="1"/>
    <col min="11" max="11" width="11.83203125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3" t="s">
        <v>117</v>
      </c>
    </row>
    <row r="2" spans="1:13" x14ac:dyDescent="0.2">
      <c r="A2" t="s">
        <v>11</v>
      </c>
      <c r="B2" t="s">
        <v>12</v>
      </c>
      <c r="C2" t="s">
        <v>13</v>
      </c>
      <c r="D2" s="1">
        <v>45678</v>
      </c>
      <c r="E2" s="1">
        <v>45858</v>
      </c>
      <c r="F2">
        <v>1092</v>
      </c>
      <c r="G2">
        <v>1441</v>
      </c>
      <c r="H2">
        <v>475</v>
      </c>
      <c r="I2">
        <v>250</v>
      </c>
      <c r="J2">
        <v>528000</v>
      </c>
      <c r="K2">
        <v>659000</v>
      </c>
    </row>
    <row r="3" spans="1:13" x14ac:dyDescent="0.2">
      <c r="A3" t="s">
        <v>14</v>
      </c>
      <c r="B3" t="s">
        <v>12</v>
      </c>
      <c r="C3" t="s">
        <v>13</v>
      </c>
      <c r="D3" s="1">
        <v>45824</v>
      </c>
      <c r="E3" s="1">
        <v>45945</v>
      </c>
      <c r="F3">
        <v>891</v>
      </c>
      <c r="G3">
        <v>870</v>
      </c>
      <c r="H3">
        <v>475</v>
      </c>
      <c r="I3">
        <v>250</v>
      </c>
      <c r="J3">
        <v>430600</v>
      </c>
      <c r="K3">
        <v>402900</v>
      </c>
    </row>
    <row r="4" spans="1:13" x14ac:dyDescent="0.2">
      <c r="A4" t="s">
        <v>15</v>
      </c>
      <c r="B4" t="s">
        <v>12</v>
      </c>
      <c r="C4" t="s">
        <v>16</v>
      </c>
      <c r="D4" s="1">
        <v>45931</v>
      </c>
      <c r="E4" s="1">
        <v>46030</v>
      </c>
      <c r="F4">
        <v>918</v>
      </c>
      <c r="G4">
        <v>935</v>
      </c>
      <c r="H4">
        <v>500</v>
      </c>
      <c r="I4">
        <v>270</v>
      </c>
      <c r="J4">
        <v>444100</v>
      </c>
      <c r="K4">
        <v>412500</v>
      </c>
    </row>
    <row r="5" spans="1:13" x14ac:dyDescent="0.2">
      <c r="A5" t="s">
        <v>17</v>
      </c>
      <c r="B5" t="s">
        <v>12</v>
      </c>
      <c r="C5" t="s">
        <v>18</v>
      </c>
      <c r="D5" s="1">
        <v>46045</v>
      </c>
      <c r="E5" s="1">
        <v>46189</v>
      </c>
      <c r="F5">
        <v>788</v>
      </c>
      <c r="G5">
        <v>946</v>
      </c>
      <c r="H5">
        <v>450</v>
      </c>
      <c r="I5">
        <v>260</v>
      </c>
      <c r="J5">
        <v>349200</v>
      </c>
      <c r="K5">
        <v>382300</v>
      </c>
    </row>
    <row r="6" spans="1:13" x14ac:dyDescent="0.2">
      <c r="A6" t="s">
        <v>19</v>
      </c>
      <c r="B6" t="s">
        <v>20</v>
      </c>
      <c r="C6" t="s">
        <v>18</v>
      </c>
      <c r="D6" s="1">
        <v>45973</v>
      </c>
      <c r="E6" s="1">
        <v>46112</v>
      </c>
      <c r="F6">
        <v>878</v>
      </c>
      <c r="G6">
        <v>1134</v>
      </c>
      <c r="H6">
        <v>450</v>
      </c>
      <c r="I6">
        <v>260</v>
      </c>
      <c r="J6">
        <v>383700</v>
      </c>
      <c r="K6">
        <v>451200</v>
      </c>
    </row>
    <row r="7" spans="1:13" x14ac:dyDescent="0.2">
      <c r="A7" t="s">
        <v>21</v>
      </c>
      <c r="B7" t="s">
        <v>22</v>
      </c>
      <c r="C7" t="s">
        <v>13</v>
      </c>
      <c r="D7" s="1">
        <v>45671</v>
      </c>
      <c r="E7" s="1">
        <v>45839</v>
      </c>
      <c r="F7">
        <v>730</v>
      </c>
      <c r="G7">
        <v>827</v>
      </c>
      <c r="H7">
        <v>475</v>
      </c>
      <c r="I7">
        <v>250</v>
      </c>
      <c r="J7">
        <v>336300</v>
      </c>
      <c r="K7">
        <v>381200</v>
      </c>
    </row>
    <row r="8" spans="1:13" x14ac:dyDescent="0.2">
      <c r="A8" t="s">
        <v>23</v>
      </c>
      <c r="B8" t="s">
        <v>24</v>
      </c>
      <c r="C8" t="s">
        <v>16</v>
      </c>
      <c r="D8" s="1">
        <v>45899</v>
      </c>
      <c r="E8" s="1">
        <v>46040</v>
      </c>
      <c r="F8">
        <v>1517</v>
      </c>
      <c r="G8">
        <v>1703</v>
      </c>
      <c r="H8">
        <v>500</v>
      </c>
      <c r="I8">
        <v>270</v>
      </c>
      <c r="J8">
        <v>722500</v>
      </c>
      <c r="K8">
        <v>770100</v>
      </c>
    </row>
    <row r="9" spans="1:13" x14ac:dyDescent="0.2">
      <c r="A9" t="s">
        <v>25</v>
      </c>
      <c r="B9" t="s">
        <v>24</v>
      </c>
      <c r="C9" t="s">
        <v>13</v>
      </c>
      <c r="D9" s="1">
        <v>46003</v>
      </c>
      <c r="E9" s="1">
        <v>46173</v>
      </c>
      <c r="F9">
        <v>540</v>
      </c>
      <c r="G9">
        <v>568</v>
      </c>
      <c r="H9">
        <v>475</v>
      </c>
      <c r="I9">
        <v>250</v>
      </c>
      <c r="J9">
        <v>254600</v>
      </c>
      <c r="K9">
        <v>263500</v>
      </c>
    </row>
    <row r="10" spans="1:13" x14ac:dyDescent="0.2">
      <c r="A10" t="s">
        <v>26</v>
      </c>
      <c r="B10" t="s">
        <v>27</v>
      </c>
      <c r="C10" t="s">
        <v>13</v>
      </c>
      <c r="D10" s="1">
        <v>45997</v>
      </c>
      <c r="E10" s="1">
        <v>46109</v>
      </c>
      <c r="F10">
        <v>1551</v>
      </c>
      <c r="G10">
        <v>1562</v>
      </c>
      <c r="H10">
        <v>475</v>
      </c>
      <c r="I10">
        <v>250</v>
      </c>
      <c r="J10">
        <v>725800</v>
      </c>
      <c r="K10">
        <v>693100</v>
      </c>
    </row>
    <row r="11" spans="1:13" x14ac:dyDescent="0.2">
      <c r="A11" t="s">
        <v>28</v>
      </c>
      <c r="B11" t="s">
        <v>29</v>
      </c>
      <c r="C11" t="s">
        <v>30</v>
      </c>
      <c r="D11" s="1">
        <v>45749</v>
      </c>
      <c r="E11" s="1">
        <v>45832</v>
      </c>
      <c r="F11">
        <v>634</v>
      </c>
      <c r="G11">
        <v>590</v>
      </c>
      <c r="H11">
        <v>425</v>
      </c>
      <c r="I11">
        <v>235</v>
      </c>
      <c r="J11">
        <v>256900</v>
      </c>
      <c r="K11">
        <v>253500</v>
      </c>
    </row>
    <row r="12" spans="1:13" x14ac:dyDescent="0.2">
      <c r="A12" t="s">
        <v>31</v>
      </c>
      <c r="B12" t="s">
        <v>20</v>
      </c>
      <c r="C12" t="s">
        <v>30</v>
      </c>
      <c r="D12" s="1">
        <v>46024</v>
      </c>
      <c r="E12" s="1">
        <v>46109</v>
      </c>
      <c r="F12">
        <v>700</v>
      </c>
      <c r="G12">
        <v>691</v>
      </c>
      <c r="H12">
        <v>425</v>
      </c>
      <c r="I12">
        <v>235</v>
      </c>
      <c r="J12">
        <v>288400</v>
      </c>
      <c r="K12">
        <v>264100</v>
      </c>
    </row>
    <row r="13" spans="1:13" x14ac:dyDescent="0.2">
      <c r="A13" t="s">
        <v>32</v>
      </c>
      <c r="B13" t="s">
        <v>27</v>
      </c>
      <c r="C13" t="s">
        <v>30</v>
      </c>
      <c r="D13" s="1">
        <v>46112</v>
      </c>
      <c r="E13" s="1">
        <v>46260</v>
      </c>
      <c r="F13">
        <v>1279</v>
      </c>
      <c r="G13">
        <v>1419</v>
      </c>
      <c r="H13">
        <v>425</v>
      </c>
      <c r="I13">
        <v>235</v>
      </c>
      <c r="J13">
        <v>551000</v>
      </c>
      <c r="K13">
        <v>559500</v>
      </c>
    </row>
    <row r="14" spans="1:13" x14ac:dyDescent="0.2">
      <c r="A14" t="s">
        <v>33</v>
      </c>
      <c r="B14" t="s">
        <v>20</v>
      </c>
      <c r="C14" t="s">
        <v>18</v>
      </c>
      <c r="D14" s="1">
        <v>46085</v>
      </c>
      <c r="E14" s="1">
        <v>46204</v>
      </c>
      <c r="F14">
        <v>1429</v>
      </c>
      <c r="G14">
        <v>1713</v>
      </c>
      <c r="H14">
        <v>450</v>
      </c>
      <c r="I14">
        <v>260</v>
      </c>
      <c r="J14">
        <v>621700</v>
      </c>
      <c r="K14">
        <v>638600</v>
      </c>
    </row>
    <row r="15" spans="1:13" x14ac:dyDescent="0.2">
      <c r="A15" t="s">
        <v>34</v>
      </c>
      <c r="B15" t="s">
        <v>20</v>
      </c>
      <c r="C15" t="s">
        <v>16</v>
      </c>
      <c r="D15" s="1">
        <v>46166</v>
      </c>
      <c r="E15" s="1">
        <v>46334</v>
      </c>
      <c r="F15">
        <v>1556</v>
      </c>
      <c r="G15">
        <v>1581</v>
      </c>
      <c r="H15">
        <v>500</v>
      </c>
      <c r="I15">
        <v>270</v>
      </c>
      <c r="J15">
        <v>747000</v>
      </c>
      <c r="K15">
        <v>798000</v>
      </c>
    </row>
    <row r="16" spans="1:13" x14ac:dyDescent="0.2">
      <c r="A16" t="s">
        <v>35</v>
      </c>
      <c r="B16" t="s">
        <v>22</v>
      </c>
      <c r="C16" t="s">
        <v>16</v>
      </c>
      <c r="D16" s="1">
        <v>45692</v>
      </c>
      <c r="E16" s="1">
        <v>45792</v>
      </c>
      <c r="F16">
        <v>1571</v>
      </c>
      <c r="G16">
        <v>1713</v>
      </c>
      <c r="H16">
        <v>500</v>
      </c>
      <c r="I16">
        <v>270</v>
      </c>
      <c r="J16">
        <v>773100</v>
      </c>
      <c r="K16">
        <v>858900</v>
      </c>
    </row>
    <row r="17" spans="1:11" x14ac:dyDescent="0.2">
      <c r="A17" t="s">
        <v>36</v>
      </c>
      <c r="B17" t="s">
        <v>24</v>
      </c>
      <c r="C17" t="s">
        <v>16</v>
      </c>
      <c r="D17" s="1">
        <v>45863</v>
      </c>
      <c r="E17" s="1">
        <v>45951</v>
      </c>
      <c r="F17">
        <v>1002</v>
      </c>
      <c r="G17">
        <v>1145</v>
      </c>
      <c r="H17">
        <v>500</v>
      </c>
      <c r="I17">
        <v>270</v>
      </c>
      <c r="J17">
        <v>510500</v>
      </c>
      <c r="K17">
        <v>524500</v>
      </c>
    </row>
    <row r="18" spans="1:11" x14ac:dyDescent="0.2">
      <c r="A18" t="s">
        <v>37</v>
      </c>
      <c r="B18" t="s">
        <v>38</v>
      </c>
      <c r="C18" t="s">
        <v>16</v>
      </c>
      <c r="D18" s="1">
        <v>45738</v>
      </c>
      <c r="E18" s="1">
        <v>45812</v>
      </c>
      <c r="F18">
        <v>906</v>
      </c>
      <c r="G18">
        <v>970</v>
      </c>
      <c r="H18">
        <v>500</v>
      </c>
      <c r="I18">
        <v>270</v>
      </c>
      <c r="J18">
        <v>438000</v>
      </c>
      <c r="K18">
        <v>471600</v>
      </c>
    </row>
    <row r="19" spans="1:11" x14ac:dyDescent="0.2">
      <c r="A19" t="s">
        <v>39</v>
      </c>
      <c r="B19" t="s">
        <v>22</v>
      </c>
      <c r="C19" t="s">
        <v>30</v>
      </c>
      <c r="D19" s="1">
        <v>46045</v>
      </c>
      <c r="E19" s="1">
        <v>46149</v>
      </c>
      <c r="F19">
        <v>1304</v>
      </c>
      <c r="G19">
        <v>1402</v>
      </c>
      <c r="H19">
        <v>425</v>
      </c>
      <c r="I19">
        <v>235</v>
      </c>
      <c r="J19">
        <v>552600</v>
      </c>
      <c r="K19">
        <v>592500</v>
      </c>
    </row>
    <row r="20" spans="1:11" x14ac:dyDescent="0.2">
      <c r="A20" t="s">
        <v>40</v>
      </c>
      <c r="B20" t="s">
        <v>22</v>
      </c>
      <c r="C20" t="s">
        <v>18</v>
      </c>
      <c r="D20" s="1">
        <v>45659</v>
      </c>
      <c r="E20" s="1">
        <v>45783</v>
      </c>
      <c r="F20">
        <v>598</v>
      </c>
      <c r="G20">
        <v>734</v>
      </c>
      <c r="H20">
        <v>450</v>
      </c>
      <c r="I20">
        <v>260</v>
      </c>
      <c r="J20">
        <v>270000</v>
      </c>
      <c r="K20">
        <v>276200</v>
      </c>
    </row>
    <row r="21" spans="1:11" x14ac:dyDescent="0.2">
      <c r="A21" t="s">
        <v>41</v>
      </c>
      <c r="B21" t="s">
        <v>20</v>
      </c>
      <c r="C21" t="s">
        <v>18</v>
      </c>
      <c r="D21" s="1">
        <v>46047</v>
      </c>
      <c r="E21" s="1">
        <v>46195</v>
      </c>
      <c r="F21">
        <v>1183</v>
      </c>
      <c r="G21">
        <v>1485</v>
      </c>
      <c r="H21">
        <v>450</v>
      </c>
      <c r="I21">
        <v>260</v>
      </c>
      <c r="J21">
        <v>514600</v>
      </c>
      <c r="K21">
        <v>608000</v>
      </c>
    </row>
    <row r="22" spans="1:11" x14ac:dyDescent="0.2">
      <c r="A22" t="s">
        <v>42</v>
      </c>
      <c r="B22" t="s">
        <v>43</v>
      </c>
      <c r="C22" t="s">
        <v>30</v>
      </c>
      <c r="D22" s="1">
        <v>45763</v>
      </c>
      <c r="E22" s="1">
        <v>45893</v>
      </c>
      <c r="F22">
        <v>1225</v>
      </c>
      <c r="G22">
        <v>1256</v>
      </c>
      <c r="H22">
        <v>425</v>
      </c>
      <c r="I22">
        <v>235</v>
      </c>
      <c r="J22">
        <v>521100</v>
      </c>
      <c r="K22">
        <v>487800</v>
      </c>
    </row>
    <row r="23" spans="1:11" x14ac:dyDescent="0.2">
      <c r="A23" t="s">
        <v>44</v>
      </c>
      <c r="B23" t="s">
        <v>24</v>
      </c>
      <c r="C23" t="s">
        <v>18</v>
      </c>
      <c r="D23" s="1">
        <v>46134</v>
      </c>
      <c r="E23" s="1">
        <v>46202</v>
      </c>
      <c r="F23">
        <v>1460</v>
      </c>
      <c r="G23">
        <v>1759</v>
      </c>
      <c r="H23">
        <v>450</v>
      </c>
      <c r="I23">
        <v>260</v>
      </c>
      <c r="J23">
        <v>641100</v>
      </c>
      <c r="K23">
        <v>697100</v>
      </c>
    </row>
    <row r="24" spans="1:11" x14ac:dyDescent="0.2">
      <c r="A24" t="s">
        <v>45</v>
      </c>
      <c r="B24" t="s">
        <v>29</v>
      </c>
      <c r="C24" t="s">
        <v>30</v>
      </c>
      <c r="D24" s="1">
        <v>46059</v>
      </c>
      <c r="E24" s="1">
        <v>46206</v>
      </c>
      <c r="F24">
        <v>1112</v>
      </c>
      <c r="G24">
        <v>1145</v>
      </c>
      <c r="H24">
        <v>425</v>
      </c>
      <c r="I24">
        <v>235</v>
      </c>
      <c r="J24">
        <v>469900</v>
      </c>
      <c r="K24">
        <v>489400</v>
      </c>
    </row>
    <row r="25" spans="1:11" x14ac:dyDescent="0.2">
      <c r="A25" t="s">
        <v>46</v>
      </c>
      <c r="B25" t="s">
        <v>22</v>
      </c>
      <c r="C25" t="s">
        <v>16</v>
      </c>
      <c r="D25" s="1">
        <v>45819</v>
      </c>
      <c r="E25" s="1">
        <v>45879</v>
      </c>
      <c r="F25">
        <v>1985</v>
      </c>
      <c r="G25">
        <v>2026</v>
      </c>
      <c r="H25">
        <v>500</v>
      </c>
      <c r="I25">
        <v>270</v>
      </c>
      <c r="J25">
        <v>986900</v>
      </c>
      <c r="K25">
        <v>1019100</v>
      </c>
    </row>
    <row r="26" spans="1:11" x14ac:dyDescent="0.2">
      <c r="A26" t="s">
        <v>47</v>
      </c>
      <c r="B26" t="s">
        <v>38</v>
      </c>
      <c r="C26" t="s">
        <v>30</v>
      </c>
      <c r="D26" s="1">
        <v>45859</v>
      </c>
      <c r="E26" s="1">
        <v>46026</v>
      </c>
      <c r="F26">
        <v>1142</v>
      </c>
      <c r="G26">
        <v>1315</v>
      </c>
      <c r="H26">
        <v>425</v>
      </c>
      <c r="I26">
        <v>235</v>
      </c>
      <c r="J26">
        <v>479300</v>
      </c>
      <c r="K26">
        <v>541300</v>
      </c>
    </row>
    <row r="27" spans="1:11" x14ac:dyDescent="0.2">
      <c r="A27" t="s">
        <v>48</v>
      </c>
      <c r="B27" t="s">
        <v>43</v>
      </c>
      <c r="C27" t="s">
        <v>16</v>
      </c>
      <c r="D27" s="1">
        <v>45927</v>
      </c>
      <c r="E27" s="1">
        <v>45994</v>
      </c>
      <c r="F27">
        <v>1528</v>
      </c>
      <c r="G27">
        <v>1569</v>
      </c>
      <c r="H27">
        <v>500</v>
      </c>
      <c r="I27">
        <v>270</v>
      </c>
      <c r="J27">
        <v>730600</v>
      </c>
      <c r="K27">
        <v>727600</v>
      </c>
    </row>
    <row r="28" spans="1:11" x14ac:dyDescent="0.2">
      <c r="A28" t="s">
        <v>49</v>
      </c>
      <c r="B28" t="s">
        <v>43</v>
      </c>
      <c r="C28" t="s">
        <v>16</v>
      </c>
      <c r="D28" s="1">
        <v>45928</v>
      </c>
      <c r="E28" s="1">
        <v>46075</v>
      </c>
      <c r="F28">
        <v>1741</v>
      </c>
      <c r="G28">
        <v>1458</v>
      </c>
      <c r="H28">
        <v>500</v>
      </c>
      <c r="I28">
        <v>270</v>
      </c>
      <c r="J28">
        <v>877900</v>
      </c>
      <c r="K28">
        <v>677200</v>
      </c>
    </row>
    <row r="29" spans="1:11" x14ac:dyDescent="0.2">
      <c r="A29" t="s">
        <v>50</v>
      </c>
      <c r="B29" t="s">
        <v>29</v>
      </c>
      <c r="C29" t="s">
        <v>13</v>
      </c>
      <c r="D29" s="1">
        <v>46113</v>
      </c>
      <c r="E29" s="1">
        <v>46235</v>
      </c>
      <c r="F29">
        <v>1002</v>
      </c>
      <c r="G29">
        <v>1080</v>
      </c>
      <c r="H29">
        <v>475</v>
      </c>
      <c r="I29">
        <v>250</v>
      </c>
      <c r="J29">
        <v>462800</v>
      </c>
      <c r="K29">
        <v>503600</v>
      </c>
    </row>
    <row r="30" spans="1:11" x14ac:dyDescent="0.2">
      <c r="A30" t="s">
        <v>51</v>
      </c>
      <c r="B30" t="s">
        <v>22</v>
      </c>
      <c r="C30" t="s">
        <v>30</v>
      </c>
      <c r="D30" s="1">
        <v>46119</v>
      </c>
      <c r="E30" s="1">
        <v>46189</v>
      </c>
      <c r="F30">
        <v>1266</v>
      </c>
      <c r="G30">
        <v>1289</v>
      </c>
      <c r="H30">
        <v>425</v>
      </c>
      <c r="I30">
        <v>235</v>
      </c>
      <c r="J30">
        <v>518200</v>
      </c>
      <c r="K30">
        <v>550900</v>
      </c>
    </row>
    <row r="31" spans="1:11" x14ac:dyDescent="0.2">
      <c r="A31" t="s">
        <v>52</v>
      </c>
      <c r="B31" t="s">
        <v>38</v>
      </c>
      <c r="C31" t="s">
        <v>13</v>
      </c>
      <c r="D31" s="1">
        <v>45909</v>
      </c>
      <c r="E31" s="1">
        <v>46083</v>
      </c>
      <c r="F31">
        <v>897</v>
      </c>
      <c r="G31">
        <v>921</v>
      </c>
      <c r="H31">
        <v>475</v>
      </c>
      <c r="I31">
        <v>250</v>
      </c>
      <c r="J31">
        <v>406000</v>
      </c>
      <c r="K31">
        <v>439300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4BA8-CCFC-FA4C-8524-C4FB346E0967}">
  <dimension ref="A1:H61"/>
  <sheetViews>
    <sheetView workbookViewId="0">
      <selection activeCell="C15" sqref="C15"/>
    </sheetView>
  </sheetViews>
  <sheetFormatPr baseColWidth="10" defaultRowHeight="16" x14ac:dyDescent="0.2"/>
  <cols>
    <col min="1" max="1" width="11.5" customWidth="1"/>
    <col min="2" max="2" width="9.6640625" customWidth="1"/>
    <col min="3" max="3" width="13.1640625" bestFit="1" customWidth="1"/>
    <col min="4" max="4" width="18" bestFit="1" customWidth="1"/>
    <col min="5" max="5" width="9.6640625" customWidth="1"/>
    <col min="6" max="6" width="18" bestFit="1" customWidth="1"/>
  </cols>
  <sheetData>
    <row r="1" spans="1:8" x14ac:dyDescent="0.2">
      <c r="A1" s="2" t="s">
        <v>53</v>
      </c>
      <c r="B1" s="2" t="s">
        <v>0</v>
      </c>
      <c r="C1" s="2" t="s">
        <v>1</v>
      </c>
      <c r="D1" s="2" t="s">
        <v>54</v>
      </c>
      <c r="E1" s="2" t="s">
        <v>55</v>
      </c>
      <c r="F1" s="2" t="s">
        <v>56</v>
      </c>
      <c r="H1" s="3" t="s">
        <v>117</v>
      </c>
    </row>
    <row r="2" spans="1:8" x14ac:dyDescent="0.2">
      <c r="A2" t="s">
        <v>57</v>
      </c>
      <c r="B2" t="s">
        <v>15</v>
      </c>
      <c r="C2" t="s">
        <v>12</v>
      </c>
      <c r="D2" s="1">
        <v>45959</v>
      </c>
      <c r="E2">
        <v>223300</v>
      </c>
      <c r="F2" s="1">
        <v>46035</v>
      </c>
    </row>
    <row r="3" spans="1:8" x14ac:dyDescent="0.2">
      <c r="A3" t="s">
        <v>58</v>
      </c>
      <c r="B3" t="s">
        <v>17</v>
      </c>
      <c r="C3" t="s">
        <v>12</v>
      </c>
      <c r="D3" s="1">
        <v>46058</v>
      </c>
      <c r="E3">
        <v>191600</v>
      </c>
      <c r="F3" s="1">
        <v>46125</v>
      </c>
    </row>
    <row r="4" spans="1:8" x14ac:dyDescent="0.2">
      <c r="A4" t="s">
        <v>59</v>
      </c>
      <c r="B4" t="s">
        <v>11</v>
      </c>
      <c r="C4" t="s">
        <v>12</v>
      </c>
      <c r="D4" s="1">
        <v>45698</v>
      </c>
      <c r="E4">
        <v>329600</v>
      </c>
    </row>
    <row r="5" spans="1:8" x14ac:dyDescent="0.2">
      <c r="A5" t="s">
        <v>60</v>
      </c>
      <c r="B5" t="s">
        <v>17</v>
      </c>
      <c r="C5" t="s">
        <v>12</v>
      </c>
      <c r="D5" s="1">
        <v>46050</v>
      </c>
      <c r="E5">
        <v>202600</v>
      </c>
      <c r="F5" s="1">
        <v>46147</v>
      </c>
    </row>
    <row r="6" spans="1:8" x14ac:dyDescent="0.2">
      <c r="A6" t="s">
        <v>61</v>
      </c>
      <c r="B6" t="s">
        <v>11</v>
      </c>
      <c r="C6" t="s">
        <v>12</v>
      </c>
      <c r="D6" s="1">
        <v>45680</v>
      </c>
      <c r="E6">
        <v>339400</v>
      </c>
      <c r="F6" s="1">
        <v>45784</v>
      </c>
    </row>
    <row r="7" spans="1:8" x14ac:dyDescent="0.2">
      <c r="A7" t="s">
        <v>62</v>
      </c>
      <c r="B7" t="s">
        <v>17</v>
      </c>
      <c r="C7" t="s">
        <v>12</v>
      </c>
      <c r="D7" s="1">
        <v>46072</v>
      </c>
      <c r="E7">
        <v>198900</v>
      </c>
    </row>
    <row r="8" spans="1:8" x14ac:dyDescent="0.2">
      <c r="A8" t="s">
        <v>63</v>
      </c>
      <c r="B8" t="s">
        <v>17</v>
      </c>
      <c r="C8" t="s">
        <v>12</v>
      </c>
      <c r="D8" s="1">
        <v>46053</v>
      </c>
      <c r="E8">
        <v>202500</v>
      </c>
      <c r="F8" s="1">
        <v>46160</v>
      </c>
    </row>
    <row r="9" spans="1:8" x14ac:dyDescent="0.2">
      <c r="A9" t="s">
        <v>64</v>
      </c>
      <c r="B9" t="s">
        <v>14</v>
      </c>
      <c r="C9" t="s">
        <v>12</v>
      </c>
      <c r="D9" s="1">
        <v>45828</v>
      </c>
      <c r="E9">
        <v>217200</v>
      </c>
      <c r="F9" s="1">
        <v>45936</v>
      </c>
    </row>
    <row r="10" spans="1:8" x14ac:dyDescent="0.2">
      <c r="A10" t="s">
        <v>65</v>
      </c>
      <c r="B10" t="s">
        <v>34</v>
      </c>
      <c r="C10" t="s">
        <v>20</v>
      </c>
      <c r="D10" s="1">
        <v>46189</v>
      </c>
      <c r="E10">
        <v>386100</v>
      </c>
      <c r="F10" s="1">
        <v>46208</v>
      </c>
    </row>
    <row r="11" spans="1:8" x14ac:dyDescent="0.2">
      <c r="A11" t="s">
        <v>66</v>
      </c>
      <c r="B11" t="s">
        <v>39</v>
      </c>
      <c r="C11" t="s">
        <v>22</v>
      </c>
      <c r="D11" s="1">
        <v>46073</v>
      </c>
      <c r="E11">
        <v>288900</v>
      </c>
      <c r="F11" s="1">
        <v>46099</v>
      </c>
    </row>
    <row r="12" spans="1:8" x14ac:dyDescent="0.2">
      <c r="A12" t="s">
        <v>67</v>
      </c>
      <c r="B12" t="s">
        <v>14</v>
      </c>
      <c r="C12" t="s">
        <v>12</v>
      </c>
      <c r="D12" s="1">
        <v>45840</v>
      </c>
      <c r="E12">
        <v>185100</v>
      </c>
      <c r="F12" s="1">
        <v>45933</v>
      </c>
    </row>
    <row r="13" spans="1:8" x14ac:dyDescent="0.2">
      <c r="A13" t="s">
        <v>68</v>
      </c>
      <c r="B13" t="s">
        <v>44</v>
      </c>
      <c r="C13" t="s">
        <v>24</v>
      </c>
      <c r="D13" s="1">
        <v>46147</v>
      </c>
      <c r="E13">
        <v>354000</v>
      </c>
      <c r="F13" s="1">
        <v>46187</v>
      </c>
    </row>
    <row r="14" spans="1:8" x14ac:dyDescent="0.2">
      <c r="A14" t="s">
        <v>69</v>
      </c>
      <c r="B14" t="s">
        <v>15</v>
      </c>
      <c r="C14" t="s">
        <v>12</v>
      </c>
      <c r="D14" s="1">
        <v>45951</v>
      </c>
      <c r="E14">
        <v>187100</v>
      </c>
      <c r="F14" s="1">
        <v>46028</v>
      </c>
    </row>
    <row r="15" spans="1:8" x14ac:dyDescent="0.2">
      <c r="A15" t="s">
        <v>70</v>
      </c>
      <c r="B15" t="s">
        <v>36</v>
      </c>
      <c r="C15" t="s">
        <v>24</v>
      </c>
      <c r="D15" s="1">
        <v>45893</v>
      </c>
      <c r="E15">
        <v>260400</v>
      </c>
      <c r="F15" s="1">
        <v>45955</v>
      </c>
    </row>
    <row r="16" spans="1:8" x14ac:dyDescent="0.2">
      <c r="A16" t="s">
        <v>71</v>
      </c>
      <c r="B16" t="s">
        <v>51</v>
      </c>
      <c r="C16" t="s">
        <v>22</v>
      </c>
      <c r="D16" s="1">
        <v>46121</v>
      </c>
      <c r="E16">
        <v>277800</v>
      </c>
      <c r="F16" s="1">
        <v>46156</v>
      </c>
    </row>
    <row r="17" spans="1:6" x14ac:dyDescent="0.2">
      <c r="A17" t="s">
        <v>72</v>
      </c>
      <c r="B17" t="s">
        <v>26</v>
      </c>
      <c r="C17" t="s">
        <v>27</v>
      </c>
      <c r="D17" s="1">
        <v>46024</v>
      </c>
      <c r="E17">
        <v>331800</v>
      </c>
      <c r="F17" s="1">
        <v>46077</v>
      </c>
    </row>
    <row r="18" spans="1:6" x14ac:dyDescent="0.2">
      <c r="A18" t="s">
        <v>73</v>
      </c>
      <c r="B18" t="s">
        <v>17</v>
      </c>
      <c r="C18" t="s">
        <v>12</v>
      </c>
      <c r="D18" s="1">
        <v>46045</v>
      </c>
      <c r="E18">
        <v>194600</v>
      </c>
      <c r="F18" s="1">
        <v>46121</v>
      </c>
    </row>
    <row r="19" spans="1:6" x14ac:dyDescent="0.2">
      <c r="A19" t="s">
        <v>74</v>
      </c>
      <c r="B19" t="s">
        <v>11</v>
      </c>
      <c r="C19" t="s">
        <v>12</v>
      </c>
      <c r="D19" s="1">
        <v>45697</v>
      </c>
      <c r="E19">
        <v>298600</v>
      </c>
      <c r="F19" s="1">
        <v>45792</v>
      </c>
    </row>
    <row r="20" spans="1:6" x14ac:dyDescent="0.2">
      <c r="A20" t="s">
        <v>75</v>
      </c>
      <c r="B20" t="s">
        <v>17</v>
      </c>
      <c r="C20" t="s">
        <v>12</v>
      </c>
      <c r="D20" s="1">
        <v>46075</v>
      </c>
      <c r="E20">
        <v>173500</v>
      </c>
      <c r="F20" s="1">
        <v>46185</v>
      </c>
    </row>
    <row r="21" spans="1:6" x14ac:dyDescent="0.2">
      <c r="A21" t="s">
        <v>76</v>
      </c>
      <c r="B21" t="s">
        <v>11</v>
      </c>
      <c r="C21" t="s">
        <v>12</v>
      </c>
      <c r="D21" s="1">
        <v>45706</v>
      </c>
      <c r="E21">
        <v>350800</v>
      </c>
      <c r="F21" s="1">
        <v>45772</v>
      </c>
    </row>
    <row r="22" spans="1:6" x14ac:dyDescent="0.2">
      <c r="A22" t="s">
        <v>77</v>
      </c>
      <c r="B22" t="s">
        <v>34</v>
      </c>
      <c r="C22" t="s">
        <v>20</v>
      </c>
      <c r="D22" s="1">
        <v>46186</v>
      </c>
      <c r="E22">
        <v>387800</v>
      </c>
      <c r="F22" s="1">
        <v>46223</v>
      </c>
    </row>
    <row r="23" spans="1:6" x14ac:dyDescent="0.2">
      <c r="A23" t="s">
        <v>78</v>
      </c>
      <c r="B23" t="s">
        <v>42</v>
      </c>
      <c r="C23" t="s">
        <v>43</v>
      </c>
      <c r="D23" s="1">
        <v>45785</v>
      </c>
      <c r="E23">
        <v>225700</v>
      </c>
      <c r="F23" s="1">
        <v>45857</v>
      </c>
    </row>
    <row r="24" spans="1:6" x14ac:dyDescent="0.2">
      <c r="A24" t="s">
        <v>79</v>
      </c>
      <c r="B24" t="s">
        <v>36</v>
      </c>
      <c r="C24" t="s">
        <v>24</v>
      </c>
      <c r="D24" s="1">
        <v>45863</v>
      </c>
      <c r="E24">
        <v>263400</v>
      </c>
      <c r="F24" s="1">
        <v>45887</v>
      </c>
    </row>
    <row r="25" spans="1:6" x14ac:dyDescent="0.2">
      <c r="A25" t="s">
        <v>80</v>
      </c>
      <c r="B25" t="s">
        <v>41</v>
      </c>
      <c r="C25" t="s">
        <v>20</v>
      </c>
      <c r="D25" s="1">
        <v>46049</v>
      </c>
      <c r="E25">
        <v>320400</v>
      </c>
      <c r="F25" s="1">
        <v>46117</v>
      </c>
    </row>
    <row r="26" spans="1:6" x14ac:dyDescent="0.2">
      <c r="A26" t="s">
        <v>81</v>
      </c>
      <c r="B26" t="s">
        <v>46</v>
      </c>
      <c r="C26" t="s">
        <v>22</v>
      </c>
      <c r="D26" s="1">
        <v>45836</v>
      </c>
      <c r="E26">
        <v>480600</v>
      </c>
      <c r="F26" s="1">
        <v>45855</v>
      </c>
    </row>
    <row r="27" spans="1:6" x14ac:dyDescent="0.2">
      <c r="A27" t="s">
        <v>82</v>
      </c>
      <c r="B27" t="s">
        <v>25</v>
      </c>
      <c r="C27" t="s">
        <v>24</v>
      </c>
      <c r="D27" s="1">
        <v>46027</v>
      </c>
      <c r="E27">
        <v>135000</v>
      </c>
    </row>
    <row r="28" spans="1:6" x14ac:dyDescent="0.2">
      <c r="A28" t="s">
        <v>83</v>
      </c>
      <c r="B28" t="s">
        <v>23</v>
      </c>
      <c r="C28" t="s">
        <v>24</v>
      </c>
      <c r="D28" s="1">
        <v>45908</v>
      </c>
      <c r="E28">
        <v>353100</v>
      </c>
      <c r="F28" s="1">
        <v>45956</v>
      </c>
    </row>
    <row r="29" spans="1:6" x14ac:dyDescent="0.2">
      <c r="A29" t="s">
        <v>84</v>
      </c>
      <c r="B29" t="s">
        <v>15</v>
      </c>
      <c r="C29" t="s">
        <v>12</v>
      </c>
      <c r="D29" s="1">
        <v>45961</v>
      </c>
      <c r="E29">
        <v>187800</v>
      </c>
      <c r="F29" s="1">
        <v>46076</v>
      </c>
    </row>
    <row r="30" spans="1:6" x14ac:dyDescent="0.2">
      <c r="A30" t="s">
        <v>85</v>
      </c>
      <c r="B30" t="s">
        <v>37</v>
      </c>
      <c r="C30" t="s">
        <v>38</v>
      </c>
      <c r="D30" s="1">
        <v>45759</v>
      </c>
      <c r="E30">
        <v>237300</v>
      </c>
      <c r="F30" s="1">
        <v>45804</v>
      </c>
    </row>
    <row r="31" spans="1:6" x14ac:dyDescent="0.2">
      <c r="A31" t="s">
        <v>86</v>
      </c>
      <c r="B31" t="s">
        <v>11</v>
      </c>
      <c r="C31" t="s">
        <v>12</v>
      </c>
      <c r="D31" s="1">
        <v>45703</v>
      </c>
      <c r="E31">
        <v>332200</v>
      </c>
      <c r="F31" s="1">
        <v>45817</v>
      </c>
    </row>
    <row r="32" spans="1:6" x14ac:dyDescent="0.2">
      <c r="A32" t="s">
        <v>87</v>
      </c>
      <c r="B32" t="s">
        <v>36</v>
      </c>
      <c r="C32" t="s">
        <v>24</v>
      </c>
      <c r="D32" s="1">
        <v>45865</v>
      </c>
      <c r="E32">
        <v>269500</v>
      </c>
      <c r="F32" s="1">
        <v>45937</v>
      </c>
    </row>
    <row r="33" spans="1:6" x14ac:dyDescent="0.2">
      <c r="A33" t="s">
        <v>88</v>
      </c>
      <c r="B33" t="s">
        <v>32</v>
      </c>
      <c r="C33" t="s">
        <v>27</v>
      </c>
      <c r="D33" s="1">
        <v>46119</v>
      </c>
      <c r="E33">
        <v>292400</v>
      </c>
      <c r="F33" s="1">
        <v>46152</v>
      </c>
    </row>
    <row r="34" spans="1:6" x14ac:dyDescent="0.2">
      <c r="A34" t="s">
        <v>89</v>
      </c>
      <c r="B34" t="s">
        <v>49</v>
      </c>
      <c r="C34" t="s">
        <v>43</v>
      </c>
      <c r="D34" s="1">
        <v>45941</v>
      </c>
      <c r="E34">
        <v>370800</v>
      </c>
    </row>
    <row r="35" spans="1:6" x14ac:dyDescent="0.2">
      <c r="A35" t="s">
        <v>90</v>
      </c>
      <c r="B35" t="s">
        <v>40</v>
      </c>
      <c r="C35" t="s">
        <v>22</v>
      </c>
      <c r="D35" s="1">
        <v>45682</v>
      </c>
      <c r="E35">
        <v>138600</v>
      </c>
      <c r="F35" s="1">
        <v>45728</v>
      </c>
    </row>
    <row r="36" spans="1:6" x14ac:dyDescent="0.2">
      <c r="A36" t="s">
        <v>91</v>
      </c>
      <c r="B36" t="s">
        <v>44</v>
      </c>
      <c r="C36" t="s">
        <v>24</v>
      </c>
      <c r="D36" s="1">
        <v>46151</v>
      </c>
      <c r="E36">
        <v>336200</v>
      </c>
    </row>
    <row r="37" spans="1:6" x14ac:dyDescent="0.2">
      <c r="A37" t="s">
        <v>92</v>
      </c>
      <c r="B37" t="s">
        <v>45</v>
      </c>
      <c r="C37" t="s">
        <v>29</v>
      </c>
      <c r="D37" s="1">
        <v>46073</v>
      </c>
      <c r="E37">
        <v>259100</v>
      </c>
      <c r="F37" s="1">
        <v>46143</v>
      </c>
    </row>
    <row r="38" spans="1:6" x14ac:dyDescent="0.2">
      <c r="A38" t="s">
        <v>93</v>
      </c>
      <c r="B38" t="s">
        <v>44</v>
      </c>
      <c r="C38" t="s">
        <v>24</v>
      </c>
      <c r="D38" s="1">
        <v>46155</v>
      </c>
      <c r="E38">
        <v>332600</v>
      </c>
      <c r="F38" s="1">
        <v>46174</v>
      </c>
    </row>
    <row r="39" spans="1:6" x14ac:dyDescent="0.2">
      <c r="A39" t="s">
        <v>94</v>
      </c>
      <c r="B39" t="s">
        <v>34</v>
      </c>
      <c r="C39" t="s">
        <v>20</v>
      </c>
      <c r="D39" s="1">
        <v>46188</v>
      </c>
      <c r="E39">
        <v>394100</v>
      </c>
      <c r="F39" s="1">
        <v>46247</v>
      </c>
    </row>
    <row r="40" spans="1:6" x14ac:dyDescent="0.2">
      <c r="A40" t="s">
        <v>95</v>
      </c>
      <c r="B40" t="s">
        <v>52</v>
      </c>
      <c r="C40" t="s">
        <v>38</v>
      </c>
      <c r="D40" s="1">
        <v>45910</v>
      </c>
      <c r="E40">
        <v>201100</v>
      </c>
      <c r="F40" s="1">
        <v>45928</v>
      </c>
    </row>
    <row r="41" spans="1:6" x14ac:dyDescent="0.2">
      <c r="A41" t="s">
        <v>96</v>
      </c>
      <c r="B41" t="s">
        <v>21</v>
      </c>
      <c r="C41" t="s">
        <v>22</v>
      </c>
      <c r="D41" s="1">
        <v>45701</v>
      </c>
      <c r="E41">
        <v>172500</v>
      </c>
      <c r="F41" s="1">
        <v>45731</v>
      </c>
    </row>
    <row r="42" spans="1:6" x14ac:dyDescent="0.2">
      <c r="A42" t="s">
        <v>97</v>
      </c>
      <c r="B42" t="s">
        <v>21</v>
      </c>
      <c r="C42" t="s">
        <v>22</v>
      </c>
      <c r="D42" s="1">
        <v>45697</v>
      </c>
      <c r="E42">
        <v>208200</v>
      </c>
      <c r="F42" s="1">
        <v>45735</v>
      </c>
    </row>
    <row r="43" spans="1:6" x14ac:dyDescent="0.2">
      <c r="A43" t="s">
        <v>98</v>
      </c>
      <c r="B43" t="s">
        <v>33</v>
      </c>
      <c r="C43" t="s">
        <v>20</v>
      </c>
      <c r="D43" s="1">
        <v>46094</v>
      </c>
      <c r="E43">
        <v>340800</v>
      </c>
      <c r="F43" s="1">
        <v>46124</v>
      </c>
    </row>
    <row r="44" spans="1:6" x14ac:dyDescent="0.2">
      <c r="A44" t="s">
        <v>99</v>
      </c>
      <c r="B44" t="s">
        <v>40</v>
      </c>
      <c r="C44" t="s">
        <v>22</v>
      </c>
      <c r="D44" s="1">
        <v>45660</v>
      </c>
      <c r="E44">
        <v>143500</v>
      </c>
      <c r="F44" s="1">
        <v>45729</v>
      </c>
    </row>
    <row r="45" spans="1:6" x14ac:dyDescent="0.2">
      <c r="A45" t="s">
        <v>100</v>
      </c>
      <c r="B45" t="s">
        <v>44</v>
      </c>
      <c r="C45" t="s">
        <v>24</v>
      </c>
      <c r="D45" s="1">
        <v>46159</v>
      </c>
      <c r="E45">
        <v>342200</v>
      </c>
      <c r="F45" s="1">
        <v>46175</v>
      </c>
    </row>
    <row r="46" spans="1:6" x14ac:dyDescent="0.2">
      <c r="A46" t="s">
        <v>101</v>
      </c>
      <c r="B46" t="s">
        <v>25</v>
      </c>
      <c r="C46" t="s">
        <v>24</v>
      </c>
      <c r="D46" s="1">
        <v>46019</v>
      </c>
      <c r="E46">
        <v>123100</v>
      </c>
      <c r="F46" s="1">
        <v>46082</v>
      </c>
    </row>
    <row r="47" spans="1:6" x14ac:dyDescent="0.2">
      <c r="A47" t="s">
        <v>102</v>
      </c>
      <c r="B47" t="s">
        <v>49</v>
      </c>
      <c r="C47" t="s">
        <v>43</v>
      </c>
      <c r="D47" s="1">
        <v>45935</v>
      </c>
      <c r="E47">
        <v>315300</v>
      </c>
      <c r="F47" s="1">
        <v>45977</v>
      </c>
    </row>
    <row r="48" spans="1:6" x14ac:dyDescent="0.2">
      <c r="A48" t="s">
        <v>103</v>
      </c>
      <c r="B48" t="s">
        <v>49</v>
      </c>
      <c r="C48" t="s">
        <v>43</v>
      </c>
      <c r="D48" s="1">
        <v>45928</v>
      </c>
      <c r="E48">
        <v>321700</v>
      </c>
      <c r="F48" s="1">
        <v>45974</v>
      </c>
    </row>
    <row r="49" spans="1:6" x14ac:dyDescent="0.2">
      <c r="A49" t="s">
        <v>104</v>
      </c>
      <c r="B49" t="s">
        <v>14</v>
      </c>
      <c r="C49" t="s">
        <v>12</v>
      </c>
      <c r="D49" s="1">
        <v>45832</v>
      </c>
      <c r="E49">
        <v>203400</v>
      </c>
    </row>
    <row r="50" spans="1:6" x14ac:dyDescent="0.2">
      <c r="A50" t="s">
        <v>105</v>
      </c>
      <c r="B50" t="s">
        <v>42</v>
      </c>
      <c r="C50" t="s">
        <v>43</v>
      </c>
      <c r="D50" s="1">
        <v>45773</v>
      </c>
      <c r="E50">
        <v>254400</v>
      </c>
      <c r="F50" s="1">
        <v>45807</v>
      </c>
    </row>
    <row r="51" spans="1:6" x14ac:dyDescent="0.2">
      <c r="A51" t="s">
        <v>106</v>
      </c>
      <c r="B51" t="s">
        <v>52</v>
      </c>
      <c r="C51" t="s">
        <v>38</v>
      </c>
      <c r="D51" s="1">
        <v>45930</v>
      </c>
      <c r="E51">
        <v>226700</v>
      </c>
    </row>
    <row r="52" spans="1:6" x14ac:dyDescent="0.2">
      <c r="A52" t="s">
        <v>107</v>
      </c>
      <c r="B52" t="s">
        <v>11</v>
      </c>
      <c r="C52" t="s">
        <v>12</v>
      </c>
      <c r="D52" s="1">
        <v>45693</v>
      </c>
      <c r="E52">
        <v>315000</v>
      </c>
      <c r="F52" s="1">
        <v>45780</v>
      </c>
    </row>
    <row r="53" spans="1:6" x14ac:dyDescent="0.2">
      <c r="A53" t="s">
        <v>108</v>
      </c>
      <c r="B53" t="s">
        <v>50</v>
      </c>
      <c r="C53" t="s">
        <v>29</v>
      </c>
      <c r="D53" s="1">
        <v>46119</v>
      </c>
      <c r="E53">
        <v>274700</v>
      </c>
      <c r="F53" s="1">
        <v>46183</v>
      </c>
    </row>
    <row r="54" spans="1:6" x14ac:dyDescent="0.2">
      <c r="A54" t="s">
        <v>109</v>
      </c>
      <c r="B54" t="s">
        <v>35</v>
      </c>
      <c r="C54" t="s">
        <v>22</v>
      </c>
      <c r="D54" s="1">
        <v>45720</v>
      </c>
      <c r="E54">
        <v>449900</v>
      </c>
      <c r="F54" s="1">
        <v>45769</v>
      </c>
    </row>
    <row r="55" spans="1:6" x14ac:dyDescent="0.2">
      <c r="A55" t="s">
        <v>110</v>
      </c>
      <c r="B55" t="s">
        <v>11</v>
      </c>
      <c r="C55" t="s">
        <v>12</v>
      </c>
      <c r="D55" s="1">
        <v>45687</v>
      </c>
      <c r="E55">
        <v>333100</v>
      </c>
      <c r="F55" s="1">
        <v>45768</v>
      </c>
    </row>
    <row r="56" spans="1:6" x14ac:dyDescent="0.2">
      <c r="A56" t="s">
        <v>111</v>
      </c>
      <c r="B56" t="s">
        <v>19</v>
      </c>
      <c r="C56" t="s">
        <v>20</v>
      </c>
      <c r="D56" s="1">
        <v>45995</v>
      </c>
      <c r="E56">
        <v>230600</v>
      </c>
    </row>
    <row r="57" spans="1:6" x14ac:dyDescent="0.2">
      <c r="A57" t="s">
        <v>112</v>
      </c>
      <c r="B57" t="s">
        <v>50</v>
      </c>
      <c r="C57" t="s">
        <v>29</v>
      </c>
      <c r="D57" s="1">
        <v>46138</v>
      </c>
      <c r="E57">
        <v>247800</v>
      </c>
    </row>
    <row r="58" spans="1:6" x14ac:dyDescent="0.2">
      <c r="A58" t="s">
        <v>113</v>
      </c>
      <c r="B58" t="s">
        <v>51</v>
      </c>
      <c r="C58" t="s">
        <v>22</v>
      </c>
      <c r="D58" s="1">
        <v>46121</v>
      </c>
      <c r="E58">
        <v>261600</v>
      </c>
      <c r="F58" s="1">
        <v>46196</v>
      </c>
    </row>
    <row r="59" spans="1:6" x14ac:dyDescent="0.2">
      <c r="A59" t="s">
        <v>114</v>
      </c>
      <c r="B59" t="s">
        <v>36</v>
      </c>
      <c r="C59" t="s">
        <v>24</v>
      </c>
      <c r="D59" s="1">
        <v>45880</v>
      </c>
      <c r="E59">
        <v>254700</v>
      </c>
      <c r="F59" s="1">
        <v>45945</v>
      </c>
    </row>
    <row r="60" spans="1:6" x14ac:dyDescent="0.2">
      <c r="A60" t="s">
        <v>115</v>
      </c>
      <c r="B60" t="s">
        <v>40</v>
      </c>
      <c r="C60" t="s">
        <v>22</v>
      </c>
      <c r="D60" s="1">
        <v>45683</v>
      </c>
      <c r="E60">
        <v>145200</v>
      </c>
    </row>
    <row r="61" spans="1:6" x14ac:dyDescent="0.2">
      <c r="A61" t="s">
        <v>116</v>
      </c>
      <c r="B61" t="s">
        <v>17</v>
      </c>
      <c r="C61" t="s">
        <v>12</v>
      </c>
      <c r="D61" s="1">
        <v>46068</v>
      </c>
      <c r="E61">
        <v>172600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C8B3-0F96-094F-87E6-DE15B5DDF115}">
  <dimension ref="A1:Y61"/>
  <sheetViews>
    <sheetView workbookViewId="0">
      <pane ySplit="1" topLeftCell="A2" activePane="bottomLeft" state="frozen"/>
      <selection pane="bottomLeft" activeCell="V36" sqref="V36"/>
    </sheetView>
  </sheetViews>
  <sheetFormatPr baseColWidth="10" defaultRowHeight="16" x14ac:dyDescent="0.2"/>
  <cols>
    <col min="1" max="1" width="8.1640625" bestFit="1" customWidth="1"/>
    <col min="2" max="2" width="13.1640625" bestFit="1" customWidth="1"/>
    <col min="3" max="3" width="15.83203125" bestFit="1" customWidth="1"/>
    <col min="4" max="4" width="12.33203125" bestFit="1" customWidth="1"/>
    <col min="5" max="5" width="11.83203125" bestFit="1" customWidth="1"/>
    <col min="6" max="6" width="15.6640625" style="4" bestFit="1" customWidth="1"/>
    <col min="7" max="7" width="11.6640625" style="8" bestFit="1" customWidth="1"/>
    <col min="8" max="8" width="11.5" style="8" bestFit="1" customWidth="1"/>
    <col min="9" max="9" width="13.6640625" style="4" bestFit="1" customWidth="1"/>
    <col min="10" max="10" width="19.1640625" style="8" bestFit="1" customWidth="1"/>
    <col min="11" max="11" width="10.33203125" style="4" bestFit="1" customWidth="1"/>
    <col min="12" max="12" width="10.6640625" style="8" bestFit="1" customWidth="1"/>
    <col min="13" max="13" width="11.5" style="8" bestFit="1" customWidth="1"/>
    <col min="14" max="14" width="12.5" style="8" bestFit="1" customWidth="1"/>
    <col min="15" max="15" width="12.1640625" style="4" bestFit="1" customWidth="1"/>
    <col min="16" max="16" width="10.83203125" style="9"/>
    <col min="17" max="17" width="9.6640625" bestFit="1" customWidth="1"/>
    <col min="18" max="18" width="8.1640625" bestFit="1" customWidth="1"/>
    <col min="19" max="19" width="6.1640625" bestFit="1" customWidth="1"/>
    <col min="20" max="20" width="18" bestFit="1" customWidth="1"/>
    <col min="21" max="21" width="8.5" bestFit="1" customWidth="1"/>
    <col min="22" max="23" width="18" bestFit="1" customWidth="1"/>
    <col min="24" max="24" width="16.5" bestFit="1" customWidth="1"/>
    <col min="25" max="25" width="12.5" bestFit="1" customWidth="1"/>
  </cols>
  <sheetData>
    <row r="1" spans="1:25" s="5" customFormat="1" x14ac:dyDescent="0.2">
      <c r="A1" s="5" t="s">
        <v>0</v>
      </c>
      <c r="B1" s="5" t="s">
        <v>1</v>
      </c>
      <c r="C1" s="5" t="s">
        <v>118</v>
      </c>
      <c r="D1" s="5" t="s">
        <v>119</v>
      </c>
      <c r="E1" s="5" t="s">
        <v>120</v>
      </c>
      <c r="F1" s="6" t="s">
        <v>121</v>
      </c>
      <c r="G1" s="7" t="s">
        <v>122</v>
      </c>
      <c r="H1" s="7" t="s">
        <v>123</v>
      </c>
      <c r="I1" s="6" t="s">
        <v>124</v>
      </c>
      <c r="J1" s="7" t="s">
        <v>125</v>
      </c>
      <c r="K1" s="6" t="s">
        <v>126</v>
      </c>
      <c r="L1" s="7" t="s">
        <v>127</v>
      </c>
      <c r="M1" s="7" t="s">
        <v>128</v>
      </c>
      <c r="N1" s="7" t="s">
        <v>129</v>
      </c>
      <c r="O1" s="6" t="s">
        <v>130</v>
      </c>
      <c r="Q1" s="5" t="s">
        <v>53</v>
      </c>
      <c r="R1" s="5" t="s">
        <v>0</v>
      </c>
      <c r="S1" s="5" t="s">
        <v>1</v>
      </c>
      <c r="T1" s="5" t="s">
        <v>54</v>
      </c>
      <c r="U1" s="5" t="s">
        <v>55</v>
      </c>
      <c r="V1" s="5" t="s">
        <v>56</v>
      </c>
      <c r="W1" s="5" t="s">
        <v>131</v>
      </c>
      <c r="X1" s="5" t="s">
        <v>132</v>
      </c>
      <c r="Y1" s="5" t="s">
        <v>133</v>
      </c>
    </row>
    <row r="2" spans="1:25" x14ac:dyDescent="0.2">
      <c r="A2" t="str">
        <f>Cases_Raw!A2</f>
        <v>C001</v>
      </c>
      <c r="B2" t="str">
        <f>Cases_Raw!B2</f>
        <v>Alpha Health</v>
      </c>
      <c r="C2" t="str">
        <f>Cases_Raw!C2</f>
        <v>Financial Services</v>
      </c>
      <c r="D2">
        <f>Cases_Raw!F2</f>
        <v>1092</v>
      </c>
      <c r="E2">
        <f>Cases_Raw!G2</f>
        <v>1441</v>
      </c>
      <c r="F2" s="4">
        <f>(E2-D2)/D2</f>
        <v>0.31959706959706957</v>
      </c>
      <c r="G2" s="8">
        <f>Cases_Raw!J2</f>
        <v>528000</v>
      </c>
      <c r="H2" s="8">
        <f>Cases_Raw!K2</f>
        <v>659000</v>
      </c>
      <c r="I2" s="4">
        <f>(H2-G2)/G2</f>
        <v>0.24810606060606061</v>
      </c>
      <c r="J2" s="8">
        <f>E2*_xlfn.XLOOKUP(A2,Cases[Case_ID],Cases[Standard_Rate])</f>
        <v>684475</v>
      </c>
      <c r="K2" s="4">
        <f>H2/J2</f>
        <v>0.96278169399905034</v>
      </c>
      <c r="L2" s="8">
        <f>Cases_Raw!I2</f>
        <v>250</v>
      </c>
      <c r="M2" s="8">
        <f>E2*L2</f>
        <v>360250</v>
      </c>
      <c r="N2" s="8">
        <f>H2-M2</f>
        <v>298750</v>
      </c>
      <c r="O2" s="4">
        <f>N2/H2</f>
        <v>0.45333839150227617</v>
      </c>
      <c r="Q2" t="str">
        <f>Invoices_Raw!A2</f>
        <v>INV001</v>
      </c>
      <c r="R2" t="str">
        <f>Invoices_Raw!B2</f>
        <v>C003</v>
      </c>
      <c r="S2" t="str">
        <f>Invoices_Raw!C2</f>
        <v>Alpha Health</v>
      </c>
      <c r="T2" s="1">
        <f>Invoices_Raw!D2</f>
        <v>45959</v>
      </c>
      <c r="U2">
        <f>Invoices_Raw!E2</f>
        <v>223300</v>
      </c>
      <c r="V2" s="1">
        <f>Invoices_Raw!F2</f>
        <v>46035</v>
      </c>
      <c r="W2" s="1" t="str">
        <f>IF(V2="","Unpaid","Paid")</f>
        <v>Paid</v>
      </c>
      <c r="X2">
        <f>IF(V2&lt;&gt;"",V2-T2,$B$2-T2)</f>
        <v>76</v>
      </c>
      <c r="Y2" t="str">
        <f>IF(X2&lt;=30,"0-30",
IF(X2&lt;=60,"31-60",
IF(X2&lt;=90,"61-90","90+")))</f>
        <v>61-90</v>
      </c>
    </row>
    <row r="3" spans="1:25" x14ac:dyDescent="0.2">
      <c r="A3" t="str">
        <f>Cases_Raw!A3</f>
        <v>C002</v>
      </c>
      <c r="B3" t="str">
        <f>Cases_Raw!B3</f>
        <v>Alpha Health</v>
      </c>
      <c r="C3" t="str">
        <f>Cases_Raw!C3</f>
        <v>Financial Services</v>
      </c>
      <c r="D3">
        <f>Cases_Raw!F3</f>
        <v>891</v>
      </c>
      <c r="E3">
        <f>Cases_Raw!G3</f>
        <v>870</v>
      </c>
      <c r="F3" s="4">
        <f t="shared" ref="F3:F31" si="0">(E3-D3)/D3</f>
        <v>-2.3569023569023569E-2</v>
      </c>
      <c r="G3" s="8">
        <f>Cases_Raw!J3</f>
        <v>430600</v>
      </c>
      <c r="H3" s="8">
        <f>Cases_Raw!K3</f>
        <v>402900</v>
      </c>
      <c r="I3" s="4">
        <f t="shared" ref="I3:I31" si="1">(H3-G3)/G3</f>
        <v>-6.4328843474222019E-2</v>
      </c>
      <c r="J3" s="8">
        <f>E3*_xlfn.XLOOKUP(A3,Cases[Case_ID],Cases[Standard_Rate])</f>
        <v>413250</v>
      </c>
      <c r="K3" s="4">
        <f t="shared" ref="K3:K31" si="2">H3/J3</f>
        <v>0.97495462794918331</v>
      </c>
      <c r="L3" s="8">
        <f>Cases_Raw!I3</f>
        <v>250</v>
      </c>
      <c r="M3" s="8">
        <f t="shared" ref="M3:M31" si="3">E3*L3</f>
        <v>217500</v>
      </c>
      <c r="N3" s="8">
        <f t="shared" ref="N3:N31" si="4">H3-M3</f>
        <v>185400</v>
      </c>
      <c r="O3" s="4">
        <f t="shared" ref="O3:O31" si="5">N3/H3</f>
        <v>0.46016381236038717</v>
      </c>
      <c r="Q3" t="str">
        <f>Invoices_Raw!A3</f>
        <v>INV002</v>
      </c>
      <c r="R3" t="str">
        <f>Invoices_Raw!B3</f>
        <v>C004</v>
      </c>
      <c r="S3" t="str">
        <f>Invoices_Raw!C3</f>
        <v>Alpha Health</v>
      </c>
      <c r="T3" s="1">
        <f>Invoices_Raw!D3</f>
        <v>46058</v>
      </c>
      <c r="U3">
        <f>Invoices_Raw!E3</f>
        <v>191600</v>
      </c>
      <c r="V3" s="1">
        <f>Invoices_Raw!F3</f>
        <v>46125</v>
      </c>
      <c r="W3" s="1" t="str">
        <f t="shared" ref="W3:W61" si="6">IF(V3="","Unpaid","Paid")</f>
        <v>Paid</v>
      </c>
      <c r="X3">
        <f>IF(V3&lt;&gt;"",V3-T3,Summary!$B$1-T3)</f>
        <v>67</v>
      </c>
      <c r="Y3" t="str">
        <f t="shared" ref="Y3:Y61" si="7">IF(X3&lt;=30,"0-30",
IF(X3&lt;=60,"31-60",
IF(X3&lt;=90,"61-90","90+")))</f>
        <v>61-90</v>
      </c>
    </row>
    <row r="4" spans="1:25" x14ac:dyDescent="0.2">
      <c r="A4" t="str">
        <f>Cases_Raw!A4</f>
        <v>C003</v>
      </c>
      <c r="B4" t="str">
        <f>Cases_Raw!B4</f>
        <v>Alpha Health</v>
      </c>
      <c r="C4" t="str">
        <f>Cases_Raw!C4</f>
        <v>Technology</v>
      </c>
      <c r="D4">
        <f>Cases_Raw!F4</f>
        <v>918</v>
      </c>
      <c r="E4">
        <f>Cases_Raw!G4</f>
        <v>935</v>
      </c>
      <c r="F4" s="4">
        <f t="shared" si="0"/>
        <v>1.8518518518518517E-2</v>
      </c>
      <c r="G4" s="8">
        <f>Cases_Raw!J4</f>
        <v>444100</v>
      </c>
      <c r="H4" s="8">
        <f>Cases_Raw!K4</f>
        <v>412500</v>
      </c>
      <c r="I4" s="4">
        <f t="shared" si="1"/>
        <v>-7.1155145237559114E-2</v>
      </c>
      <c r="J4" s="8">
        <f>E4*_xlfn.XLOOKUP(A4,Cases[Case_ID],Cases[Standard_Rate])</f>
        <v>467500</v>
      </c>
      <c r="K4" s="4">
        <f t="shared" si="2"/>
        <v>0.88235294117647056</v>
      </c>
      <c r="L4" s="8">
        <f>Cases_Raw!I4</f>
        <v>270</v>
      </c>
      <c r="M4" s="8">
        <f t="shared" si="3"/>
        <v>252450</v>
      </c>
      <c r="N4" s="8">
        <f t="shared" si="4"/>
        <v>160050</v>
      </c>
      <c r="O4" s="4">
        <f t="shared" si="5"/>
        <v>0.38800000000000001</v>
      </c>
      <c r="Q4" t="str">
        <f>Invoices_Raw!A4</f>
        <v>INV003</v>
      </c>
      <c r="R4" t="str">
        <f>Invoices_Raw!B4</f>
        <v>C001</v>
      </c>
      <c r="S4" t="str">
        <f>Invoices_Raw!C4</f>
        <v>Alpha Health</v>
      </c>
      <c r="T4" s="1">
        <f>Invoices_Raw!D4</f>
        <v>45698</v>
      </c>
      <c r="U4">
        <f>Invoices_Raw!E4</f>
        <v>329600</v>
      </c>
      <c r="W4" s="1" t="str">
        <f t="shared" si="6"/>
        <v>Unpaid</v>
      </c>
      <c r="X4">
        <f>IF(V4&lt;&gt;"",V4-T4,Summary!$B$1-T4)</f>
        <v>689</v>
      </c>
      <c r="Y4" t="str">
        <f t="shared" si="7"/>
        <v>90+</v>
      </c>
    </row>
    <row r="5" spans="1:25" x14ac:dyDescent="0.2">
      <c r="A5" t="str">
        <f>Cases_Raw!A5</f>
        <v>C004</v>
      </c>
      <c r="B5" t="str">
        <f>Cases_Raw!B5</f>
        <v>Alpha Health</v>
      </c>
      <c r="C5" t="str">
        <f>Cases_Raw!C5</f>
        <v>Healthcare</v>
      </c>
      <c r="D5">
        <f>Cases_Raw!F5</f>
        <v>788</v>
      </c>
      <c r="E5">
        <f>Cases_Raw!G5</f>
        <v>946</v>
      </c>
      <c r="F5" s="4">
        <f t="shared" si="0"/>
        <v>0.20050761421319796</v>
      </c>
      <c r="G5" s="8">
        <f>Cases_Raw!J5</f>
        <v>349200</v>
      </c>
      <c r="H5" s="8">
        <f>Cases_Raw!K5</f>
        <v>382300</v>
      </c>
      <c r="I5" s="4">
        <f t="shared" si="1"/>
        <v>9.478808705612829E-2</v>
      </c>
      <c r="J5" s="8">
        <f>E5*_xlfn.XLOOKUP(A5,Cases[Case_ID],Cases[Standard_Rate])</f>
        <v>425700</v>
      </c>
      <c r="K5" s="4">
        <f t="shared" si="2"/>
        <v>0.89805027014329342</v>
      </c>
      <c r="L5" s="8">
        <f>Cases_Raw!I5</f>
        <v>260</v>
      </c>
      <c r="M5" s="8">
        <f t="shared" si="3"/>
        <v>245960</v>
      </c>
      <c r="N5" s="8">
        <f t="shared" si="4"/>
        <v>136340</v>
      </c>
      <c r="O5" s="4">
        <f t="shared" si="5"/>
        <v>0.35663091812712527</v>
      </c>
      <c r="Q5" t="str">
        <f>Invoices_Raw!A5</f>
        <v>INV004</v>
      </c>
      <c r="R5" t="str">
        <f>Invoices_Raw!B5</f>
        <v>C004</v>
      </c>
      <c r="S5" t="str">
        <f>Invoices_Raw!C5</f>
        <v>Alpha Health</v>
      </c>
      <c r="T5" s="1">
        <f>Invoices_Raw!D5</f>
        <v>46050</v>
      </c>
      <c r="U5">
        <f>Invoices_Raw!E5</f>
        <v>202600</v>
      </c>
      <c r="V5" s="1">
        <f>Invoices_Raw!F5</f>
        <v>46147</v>
      </c>
      <c r="W5" s="1" t="str">
        <f t="shared" si="6"/>
        <v>Paid</v>
      </c>
      <c r="X5">
        <f>IF(V5&lt;&gt;"",V5-T5,Summary!$B$1-T5)</f>
        <v>97</v>
      </c>
      <c r="Y5" t="str">
        <f t="shared" si="7"/>
        <v>90+</v>
      </c>
    </row>
    <row r="6" spans="1:25" x14ac:dyDescent="0.2">
      <c r="A6" t="str">
        <f>Cases_Raw!A6</f>
        <v>C005</v>
      </c>
      <c r="B6" t="str">
        <f>Cases_Raw!B6</f>
        <v>Gamma Energy</v>
      </c>
      <c r="C6" t="str">
        <f>Cases_Raw!C6</f>
        <v>Healthcare</v>
      </c>
      <c r="D6">
        <f>Cases_Raw!F6</f>
        <v>878</v>
      </c>
      <c r="E6">
        <f>Cases_Raw!G6</f>
        <v>1134</v>
      </c>
      <c r="F6" s="4">
        <f t="shared" si="0"/>
        <v>0.29157175398633256</v>
      </c>
      <c r="G6" s="8">
        <f>Cases_Raw!J6</f>
        <v>383700</v>
      </c>
      <c r="H6" s="8">
        <f>Cases_Raw!K6</f>
        <v>451200</v>
      </c>
      <c r="I6" s="4">
        <f t="shared" si="1"/>
        <v>0.17591868647380765</v>
      </c>
      <c r="J6" s="8">
        <f>E6*_xlfn.XLOOKUP(A6,Cases[Case_ID],Cases[Standard_Rate])</f>
        <v>510300</v>
      </c>
      <c r="K6" s="4">
        <f t="shared" si="2"/>
        <v>0.88418577307466195</v>
      </c>
      <c r="L6" s="8">
        <f>Cases_Raw!I6</f>
        <v>260</v>
      </c>
      <c r="M6" s="8">
        <f t="shared" si="3"/>
        <v>294840</v>
      </c>
      <c r="N6" s="8">
        <f t="shared" si="4"/>
        <v>156360</v>
      </c>
      <c r="O6" s="4">
        <f t="shared" si="5"/>
        <v>0.34654255319148936</v>
      </c>
      <c r="Q6" t="str">
        <f>Invoices_Raw!A6</f>
        <v>INV005</v>
      </c>
      <c r="R6" t="str">
        <f>Invoices_Raw!B6</f>
        <v>C001</v>
      </c>
      <c r="S6" t="str">
        <f>Invoices_Raw!C6</f>
        <v>Alpha Health</v>
      </c>
      <c r="T6" s="1">
        <f>Invoices_Raw!D6</f>
        <v>45680</v>
      </c>
      <c r="U6">
        <f>Invoices_Raw!E6</f>
        <v>339400</v>
      </c>
      <c r="V6" s="1">
        <f>Invoices_Raw!F6</f>
        <v>45784</v>
      </c>
      <c r="W6" s="1" t="str">
        <f t="shared" si="6"/>
        <v>Paid</v>
      </c>
      <c r="X6">
        <f>IF(V6&lt;&gt;"",V6-T6,Summary!$B$1-T6)</f>
        <v>104</v>
      </c>
      <c r="Y6" t="str">
        <f t="shared" si="7"/>
        <v>90+</v>
      </c>
    </row>
    <row r="7" spans="1:25" x14ac:dyDescent="0.2">
      <c r="A7" t="str">
        <f>Cases_Raw!A7</f>
        <v>C006</v>
      </c>
      <c r="B7" t="str">
        <f>Cases_Raw!B7</f>
        <v>Theta Health</v>
      </c>
      <c r="C7" t="str">
        <f>Cases_Raw!C7</f>
        <v>Financial Services</v>
      </c>
      <c r="D7">
        <f>Cases_Raw!F7</f>
        <v>730</v>
      </c>
      <c r="E7">
        <f>Cases_Raw!G7</f>
        <v>827</v>
      </c>
      <c r="F7" s="4">
        <f t="shared" si="0"/>
        <v>0.13287671232876713</v>
      </c>
      <c r="G7" s="8">
        <f>Cases_Raw!J7</f>
        <v>336300</v>
      </c>
      <c r="H7" s="8">
        <f>Cases_Raw!K7</f>
        <v>381200</v>
      </c>
      <c r="I7" s="4">
        <f t="shared" si="1"/>
        <v>0.13351174546535832</v>
      </c>
      <c r="J7" s="8">
        <f>E7*_xlfn.XLOOKUP(A7,Cases[Case_ID],Cases[Standard_Rate])</f>
        <v>392825</v>
      </c>
      <c r="K7" s="4">
        <f t="shared" si="2"/>
        <v>0.9704066696366066</v>
      </c>
      <c r="L7" s="8">
        <f>Cases_Raw!I7</f>
        <v>250</v>
      </c>
      <c r="M7" s="8">
        <f t="shared" si="3"/>
        <v>206750</v>
      </c>
      <c r="N7" s="8">
        <f t="shared" si="4"/>
        <v>174450</v>
      </c>
      <c r="O7" s="4">
        <f t="shared" si="5"/>
        <v>0.45763378803777544</v>
      </c>
      <c r="Q7" t="str">
        <f>Invoices_Raw!A7</f>
        <v>INV006</v>
      </c>
      <c r="R7" t="str">
        <f>Invoices_Raw!B7</f>
        <v>C004</v>
      </c>
      <c r="S7" t="str">
        <f>Invoices_Raw!C7</f>
        <v>Alpha Health</v>
      </c>
      <c r="T7" s="1">
        <f>Invoices_Raw!D7</f>
        <v>46072</v>
      </c>
      <c r="U7">
        <f>Invoices_Raw!E7</f>
        <v>198900</v>
      </c>
      <c r="W7" s="1" t="str">
        <f t="shared" si="6"/>
        <v>Unpaid</v>
      </c>
      <c r="X7">
        <f>IF(V7&lt;&gt;"",V7-T7,Summary!$B$1-T7)</f>
        <v>315</v>
      </c>
      <c r="Y7" t="str">
        <f t="shared" si="7"/>
        <v>90+</v>
      </c>
    </row>
    <row r="8" spans="1:25" x14ac:dyDescent="0.2">
      <c r="A8" t="str">
        <f>Cases_Raw!A8</f>
        <v>C007</v>
      </c>
      <c r="B8" t="str">
        <f>Cases_Raw!B8</f>
        <v>Epsilon Tech</v>
      </c>
      <c r="C8" t="str">
        <f>Cases_Raw!C8</f>
        <v>Technology</v>
      </c>
      <c r="D8">
        <f>Cases_Raw!F8</f>
        <v>1517</v>
      </c>
      <c r="E8">
        <f>Cases_Raw!G8</f>
        <v>1703</v>
      </c>
      <c r="F8" s="4">
        <f t="shared" si="0"/>
        <v>0.12261041529334213</v>
      </c>
      <c r="G8" s="8">
        <f>Cases_Raw!J8</f>
        <v>722500</v>
      </c>
      <c r="H8" s="8">
        <f>Cases_Raw!K8</f>
        <v>770100</v>
      </c>
      <c r="I8" s="4">
        <f t="shared" si="1"/>
        <v>6.5882352941176475E-2</v>
      </c>
      <c r="J8" s="8">
        <f>E8*_xlfn.XLOOKUP(A8,Cases[Case_ID],Cases[Standard_Rate])</f>
        <v>851500</v>
      </c>
      <c r="K8" s="4">
        <f t="shared" si="2"/>
        <v>0.90440399295361129</v>
      </c>
      <c r="L8" s="8">
        <f>Cases_Raw!I8</f>
        <v>270</v>
      </c>
      <c r="M8" s="8">
        <f t="shared" si="3"/>
        <v>459810</v>
      </c>
      <c r="N8" s="8">
        <f t="shared" si="4"/>
        <v>310290</v>
      </c>
      <c r="O8" s="4">
        <f t="shared" si="5"/>
        <v>0.40292169848071679</v>
      </c>
      <c r="Q8" t="str">
        <f>Invoices_Raw!A8</f>
        <v>INV007</v>
      </c>
      <c r="R8" t="str">
        <f>Invoices_Raw!B8</f>
        <v>C004</v>
      </c>
      <c r="S8" t="str">
        <f>Invoices_Raw!C8</f>
        <v>Alpha Health</v>
      </c>
      <c r="T8" s="1">
        <f>Invoices_Raw!D8</f>
        <v>46053</v>
      </c>
      <c r="U8">
        <f>Invoices_Raw!E8</f>
        <v>202500</v>
      </c>
      <c r="V8" s="1">
        <f>Invoices_Raw!F8</f>
        <v>46160</v>
      </c>
      <c r="W8" s="1" t="str">
        <f t="shared" si="6"/>
        <v>Paid</v>
      </c>
      <c r="X8">
        <f>IF(V8&lt;&gt;"",V8-T8,Summary!$B$1-T8)</f>
        <v>107</v>
      </c>
      <c r="Y8" t="str">
        <f t="shared" si="7"/>
        <v>90+</v>
      </c>
    </row>
    <row r="9" spans="1:25" x14ac:dyDescent="0.2">
      <c r="A9" t="str">
        <f>Cases_Raw!A9</f>
        <v>C008</v>
      </c>
      <c r="B9" t="str">
        <f>Cases_Raw!B9</f>
        <v>Epsilon Tech</v>
      </c>
      <c r="C9" t="str">
        <f>Cases_Raw!C9</f>
        <v>Financial Services</v>
      </c>
      <c r="D9">
        <f>Cases_Raw!F9</f>
        <v>540</v>
      </c>
      <c r="E9">
        <f>Cases_Raw!G9</f>
        <v>568</v>
      </c>
      <c r="F9" s="4">
        <f t="shared" si="0"/>
        <v>5.185185185185185E-2</v>
      </c>
      <c r="G9" s="8">
        <f>Cases_Raw!J9</f>
        <v>254600</v>
      </c>
      <c r="H9" s="8">
        <f>Cases_Raw!K9</f>
        <v>263500</v>
      </c>
      <c r="I9" s="4">
        <f t="shared" si="1"/>
        <v>3.4956794972505895E-2</v>
      </c>
      <c r="J9" s="8">
        <f>E9*_xlfn.XLOOKUP(A9,Cases[Case_ID],Cases[Standard_Rate])</f>
        <v>269800</v>
      </c>
      <c r="K9" s="4">
        <f t="shared" si="2"/>
        <v>0.97664936990363227</v>
      </c>
      <c r="L9" s="8">
        <f>Cases_Raw!I9</f>
        <v>250</v>
      </c>
      <c r="M9" s="8">
        <f t="shared" si="3"/>
        <v>142000</v>
      </c>
      <c r="N9" s="8">
        <f t="shared" si="4"/>
        <v>121500</v>
      </c>
      <c r="O9" s="4">
        <f t="shared" si="5"/>
        <v>0.46110056925996207</v>
      </c>
      <c r="Q9" t="str">
        <f>Invoices_Raw!A9</f>
        <v>INV008</v>
      </c>
      <c r="R9" t="str">
        <f>Invoices_Raw!B9</f>
        <v>C002</v>
      </c>
      <c r="S9" t="str">
        <f>Invoices_Raw!C9</f>
        <v>Alpha Health</v>
      </c>
      <c r="T9" s="1">
        <f>Invoices_Raw!D9</f>
        <v>45828</v>
      </c>
      <c r="U9">
        <f>Invoices_Raw!E9</f>
        <v>217200</v>
      </c>
      <c r="V9" s="1">
        <f>Invoices_Raw!F9</f>
        <v>45936</v>
      </c>
      <c r="W9" s="1" t="str">
        <f t="shared" si="6"/>
        <v>Paid</v>
      </c>
      <c r="X9">
        <f>IF(V9&lt;&gt;"",V9-T9,Summary!$B$1-T9)</f>
        <v>108</v>
      </c>
      <c r="Y9" t="str">
        <f t="shared" si="7"/>
        <v>90+</v>
      </c>
    </row>
    <row r="10" spans="1:25" x14ac:dyDescent="0.2">
      <c r="A10" t="str">
        <f>Cases_Raw!A10</f>
        <v>C009</v>
      </c>
      <c r="B10" t="str">
        <f>Cases_Raw!B10</f>
        <v>Eta Consumer</v>
      </c>
      <c r="C10" t="str">
        <f>Cases_Raw!C10</f>
        <v>Financial Services</v>
      </c>
      <c r="D10">
        <f>Cases_Raw!F10</f>
        <v>1551</v>
      </c>
      <c r="E10">
        <f>Cases_Raw!G10</f>
        <v>1562</v>
      </c>
      <c r="F10" s="4">
        <f t="shared" si="0"/>
        <v>7.0921985815602835E-3</v>
      </c>
      <c r="G10" s="8">
        <f>Cases_Raw!J10</f>
        <v>725800</v>
      </c>
      <c r="H10" s="8">
        <f>Cases_Raw!K10</f>
        <v>693100</v>
      </c>
      <c r="I10" s="4">
        <f t="shared" si="1"/>
        <v>-4.5053733810967209E-2</v>
      </c>
      <c r="J10" s="8">
        <f>E10*_xlfn.XLOOKUP(A10,Cases[Case_ID],Cases[Standard_Rate])</f>
        <v>741950</v>
      </c>
      <c r="K10" s="4">
        <f t="shared" si="2"/>
        <v>0.93415998382640342</v>
      </c>
      <c r="L10" s="8">
        <f>Cases_Raw!I10</f>
        <v>250</v>
      </c>
      <c r="M10" s="8">
        <f t="shared" si="3"/>
        <v>390500</v>
      </c>
      <c r="N10" s="8">
        <f t="shared" si="4"/>
        <v>302600</v>
      </c>
      <c r="O10" s="4">
        <f t="shared" si="5"/>
        <v>0.43658923676237194</v>
      </c>
      <c r="Q10" t="str">
        <f>Invoices_Raw!A10</f>
        <v>INV009</v>
      </c>
      <c r="R10" t="str">
        <f>Invoices_Raw!B10</f>
        <v>C014</v>
      </c>
      <c r="S10" t="str">
        <f>Invoices_Raw!C10</f>
        <v>Gamma Energy</v>
      </c>
      <c r="T10" s="1">
        <f>Invoices_Raw!D10</f>
        <v>46189</v>
      </c>
      <c r="U10">
        <f>Invoices_Raw!E10</f>
        <v>386100</v>
      </c>
      <c r="V10" s="1">
        <f>Invoices_Raw!F10</f>
        <v>46208</v>
      </c>
      <c r="W10" s="1" t="str">
        <f t="shared" si="6"/>
        <v>Paid</v>
      </c>
      <c r="X10">
        <f>IF(V10&lt;&gt;"",V10-T10,Summary!$B$1-T10)</f>
        <v>19</v>
      </c>
      <c r="Y10" t="str">
        <f t="shared" si="7"/>
        <v>0-30</v>
      </c>
    </row>
    <row r="11" spans="1:25" x14ac:dyDescent="0.2">
      <c r="A11" t="str">
        <f>Cases_Raw!A11</f>
        <v>C010</v>
      </c>
      <c r="B11" t="str">
        <f>Cases_Raw!B11</f>
        <v>Beta Bank</v>
      </c>
      <c r="C11" t="str">
        <f>Cases_Raw!C11</f>
        <v>Consumer</v>
      </c>
      <c r="D11">
        <f>Cases_Raw!F11</f>
        <v>634</v>
      </c>
      <c r="E11">
        <f>Cases_Raw!G11</f>
        <v>590</v>
      </c>
      <c r="F11" s="4">
        <f t="shared" si="0"/>
        <v>-6.9400630914826497E-2</v>
      </c>
      <c r="G11" s="8">
        <f>Cases_Raw!J11</f>
        <v>256900</v>
      </c>
      <c r="H11" s="8">
        <f>Cases_Raw!K11</f>
        <v>253500</v>
      </c>
      <c r="I11" s="4">
        <f t="shared" si="1"/>
        <v>-1.3234721681588166E-2</v>
      </c>
      <c r="J11" s="8">
        <f>E11*_xlfn.XLOOKUP(A11,Cases[Case_ID],Cases[Standard_Rate])</f>
        <v>250750</v>
      </c>
      <c r="K11" s="4">
        <f t="shared" si="2"/>
        <v>1.0109670987038883</v>
      </c>
      <c r="L11" s="8">
        <f>Cases_Raw!I11</f>
        <v>235</v>
      </c>
      <c r="M11" s="8">
        <f t="shared" si="3"/>
        <v>138650</v>
      </c>
      <c r="N11" s="8">
        <f t="shared" si="4"/>
        <v>114850</v>
      </c>
      <c r="O11" s="4">
        <f t="shared" si="5"/>
        <v>0.45305719921104537</v>
      </c>
      <c r="Q11" t="str">
        <f>Invoices_Raw!A11</f>
        <v>INV010</v>
      </c>
      <c r="R11" t="str">
        <f>Invoices_Raw!B11</f>
        <v>C018</v>
      </c>
      <c r="S11" t="str">
        <f>Invoices_Raw!C11</f>
        <v>Theta Health</v>
      </c>
      <c r="T11" s="1">
        <f>Invoices_Raw!D11</f>
        <v>46073</v>
      </c>
      <c r="U11">
        <f>Invoices_Raw!E11</f>
        <v>288900</v>
      </c>
      <c r="V11" s="1">
        <f>Invoices_Raw!F11</f>
        <v>46099</v>
      </c>
      <c r="W11" s="1" t="str">
        <f t="shared" si="6"/>
        <v>Paid</v>
      </c>
      <c r="X11">
        <f>IF(V11&lt;&gt;"",V11-T11,Summary!$B$1-T11)</f>
        <v>26</v>
      </c>
      <c r="Y11" t="str">
        <f t="shared" si="7"/>
        <v>0-30</v>
      </c>
    </row>
    <row r="12" spans="1:25" x14ac:dyDescent="0.2">
      <c r="A12" t="str">
        <f>Cases_Raw!A12</f>
        <v>C011</v>
      </c>
      <c r="B12" t="str">
        <f>Cases_Raw!B12</f>
        <v>Gamma Energy</v>
      </c>
      <c r="C12" t="str">
        <f>Cases_Raw!C12</f>
        <v>Consumer</v>
      </c>
      <c r="D12">
        <f>Cases_Raw!F12</f>
        <v>700</v>
      </c>
      <c r="E12">
        <f>Cases_Raw!G12</f>
        <v>691</v>
      </c>
      <c r="F12" s="4">
        <f t="shared" si="0"/>
        <v>-1.2857142857142857E-2</v>
      </c>
      <c r="G12" s="8">
        <f>Cases_Raw!J12</f>
        <v>288400</v>
      </c>
      <c r="H12" s="8">
        <f>Cases_Raw!K12</f>
        <v>264100</v>
      </c>
      <c r="I12" s="4">
        <f t="shared" si="1"/>
        <v>-8.4257975034674068E-2</v>
      </c>
      <c r="J12" s="8">
        <f>E12*_xlfn.XLOOKUP(A12,Cases[Case_ID],Cases[Standard_Rate])</f>
        <v>293675</v>
      </c>
      <c r="K12" s="4">
        <f t="shared" si="2"/>
        <v>0.89929343662211625</v>
      </c>
      <c r="L12" s="8">
        <f>Cases_Raw!I12</f>
        <v>235</v>
      </c>
      <c r="M12" s="8">
        <f t="shared" si="3"/>
        <v>162385</v>
      </c>
      <c r="N12" s="8">
        <f t="shared" si="4"/>
        <v>101715</v>
      </c>
      <c r="O12" s="4">
        <f t="shared" si="5"/>
        <v>0.38513820522529346</v>
      </c>
      <c r="Q12" t="str">
        <f>Invoices_Raw!A12</f>
        <v>INV011</v>
      </c>
      <c r="R12" t="str">
        <f>Invoices_Raw!B12</f>
        <v>C002</v>
      </c>
      <c r="S12" t="str">
        <f>Invoices_Raw!C12</f>
        <v>Alpha Health</v>
      </c>
      <c r="T12" s="1">
        <f>Invoices_Raw!D12</f>
        <v>45840</v>
      </c>
      <c r="U12">
        <f>Invoices_Raw!E12</f>
        <v>185100</v>
      </c>
      <c r="V12" s="1">
        <f>Invoices_Raw!F12</f>
        <v>45933</v>
      </c>
      <c r="W12" s="1" t="str">
        <f t="shared" si="6"/>
        <v>Paid</v>
      </c>
      <c r="X12">
        <f>IF(V12&lt;&gt;"",V12-T12,Summary!$B$1-T12)</f>
        <v>93</v>
      </c>
      <c r="Y12" t="str">
        <f t="shared" si="7"/>
        <v>90+</v>
      </c>
    </row>
    <row r="13" spans="1:25" x14ac:dyDescent="0.2">
      <c r="A13" t="str">
        <f>Cases_Raw!A13</f>
        <v>C012</v>
      </c>
      <c r="B13" t="str">
        <f>Cases_Raw!B13</f>
        <v>Eta Consumer</v>
      </c>
      <c r="C13" t="str">
        <f>Cases_Raw!C13</f>
        <v>Consumer</v>
      </c>
      <c r="D13">
        <f>Cases_Raw!F13</f>
        <v>1279</v>
      </c>
      <c r="E13">
        <f>Cases_Raw!G13</f>
        <v>1419</v>
      </c>
      <c r="F13" s="4">
        <f t="shared" si="0"/>
        <v>0.10946051602814699</v>
      </c>
      <c r="G13" s="8">
        <f>Cases_Raw!J13</f>
        <v>551000</v>
      </c>
      <c r="H13" s="8">
        <f>Cases_Raw!K13</f>
        <v>559500</v>
      </c>
      <c r="I13" s="4">
        <f t="shared" si="1"/>
        <v>1.5426497277676952E-2</v>
      </c>
      <c r="J13" s="8">
        <f>E13*_xlfn.XLOOKUP(A13,Cases[Case_ID],Cases[Standard_Rate])</f>
        <v>603075</v>
      </c>
      <c r="K13" s="4">
        <f t="shared" si="2"/>
        <v>0.92774530531028476</v>
      </c>
      <c r="L13" s="8">
        <f>Cases_Raw!I13</f>
        <v>235</v>
      </c>
      <c r="M13" s="8">
        <f t="shared" si="3"/>
        <v>333465</v>
      </c>
      <c r="N13" s="8">
        <f t="shared" si="4"/>
        <v>226035</v>
      </c>
      <c r="O13" s="4">
        <f t="shared" si="5"/>
        <v>0.40399463806970509</v>
      </c>
      <c r="Q13" t="str">
        <f>Invoices_Raw!A13</f>
        <v>INV012</v>
      </c>
      <c r="R13" t="str">
        <f>Invoices_Raw!B13</f>
        <v>C022</v>
      </c>
      <c r="S13" t="str">
        <f>Invoices_Raw!C13</f>
        <v>Epsilon Tech</v>
      </c>
      <c r="T13" s="1">
        <f>Invoices_Raw!D13</f>
        <v>46147</v>
      </c>
      <c r="U13">
        <f>Invoices_Raw!E13</f>
        <v>354000</v>
      </c>
      <c r="V13" s="1">
        <f>Invoices_Raw!F13</f>
        <v>46187</v>
      </c>
      <c r="W13" s="1" t="str">
        <f t="shared" si="6"/>
        <v>Paid</v>
      </c>
      <c r="X13">
        <f>IF(V13&lt;&gt;"",V13-T13,Summary!$B$1-T13)</f>
        <v>40</v>
      </c>
      <c r="Y13" t="str">
        <f t="shared" si="7"/>
        <v>31-60</v>
      </c>
    </row>
    <row r="14" spans="1:25" x14ac:dyDescent="0.2">
      <c r="A14" t="str">
        <f>Cases_Raw!A14</f>
        <v>C013</v>
      </c>
      <c r="B14" t="str">
        <f>Cases_Raw!B14</f>
        <v>Gamma Energy</v>
      </c>
      <c r="C14" t="str">
        <f>Cases_Raw!C14</f>
        <v>Healthcare</v>
      </c>
      <c r="D14">
        <f>Cases_Raw!F14</f>
        <v>1429</v>
      </c>
      <c r="E14">
        <f>Cases_Raw!G14</f>
        <v>1713</v>
      </c>
      <c r="F14" s="4">
        <f t="shared" si="0"/>
        <v>0.19874037788663401</v>
      </c>
      <c r="G14" s="8">
        <f>Cases_Raw!J14</f>
        <v>621700</v>
      </c>
      <c r="H14" s="8">
        <f>Cases_Raw!K14</f>
        <v>638600</v>
      </c>
      <c r="I14" s="4">
        <f t="shared" si="1"/>
        <v>2.7183529033295802E-2</v>
      </c>
      <c r="J14" s="8">
        <f>E14*_xlfn.XLOOKUP(A14,Cases[Case_ID],Cases[Standard_Rate])</f>
        <v>770850</v>
      </c>
      <c r="K14" s="4">
        <f t="shared" si="2"/>
        <v>0.82843614192125581</v>
      </c>
      <c r="L14" s="8">
        <f>Cases_Raw!I14</f>
        <v>260</v>
      </c>
      <c r="M14" s="8">
        <f t="shared" si="3"/>
        <v>445380</v>
      </c>
      <c r="N14" s="8">
        <f t="shared" si="4"/>
        <v>193220</v>
      </c>
      <c r="O14" s="4">
        <f t="shared" si="5"/>
        <v>0.30256811775759473</v>
      </c>
      <c r="Q14" t="str">
        <f>Invoices_Raw!A14</f>
        <v>INV013</v>
      </c>
      <c r="R14" t="str">
        <f>Invoices_Raw!B14</f>
        <v>C003</v>
      </c>
      <c r="S14" t="str">
        <f>Invoices_Raw!C14</f>
        <v>Alpha Health</v>
      </c>
      <c r="T14" s="1">
        <f>Invoices_Raw!D14</f>
        <v>45951</v>
      </c>
      <c r="U14">
        <f>Invoices_Raw!E14</f>
        <v>187100</v>
      </c>
      <c r="V14" s="1">
        <f>Invoices_Raw!F14</f>
        <v>46028</v>
      </c>
      <c r="W14" s="1" t="str">
        <f t="shared" si="6"/>
        <v>Paid</v>
      </c>
      <c r="X14">
        <f>IF(V14&lt;&gt;"",V14-T14,Summary!$B$1-T14)</f>
        <v>77</v>
      </c>
      <c r="Y14" t="str">
        <f t="shared" si="7"/>
        <v>61-90</v>
      </c>
    </row>
    <row r="15" spans="1:25" x14ac:dyDescent="0.2">
      <c r="A15" t="str">
        <f>Cases_Raw!A15</f>
        <v>C014</v>
      </c>
      <c r="B15" t="str">
        <f>Cases_Raw!B15</f>
        <v>Gamma Energy</v>
      </c>
      <c r="C15" t="str">
        <f>Cases_Raw!C15</f>
        <v>Technology</v>
      </c>
      <c r="D15">
        <f>Cases_Raw!F15</f>
        <v>1556</v>
      </c>
      <c r="E15">
        <f>Cases_Raw!G15</f>
        <v>1581</v>
      </c>
      <c r="F15" s="4">
        <f t="shared" si="0"/>
        <v>1.6066838046272493E-2</v>
      </c>
      <c r="G15" s="8">
        <f>Cases_Raw!J15</f>
        <v>747000</v>
      </c>
      <c r="H15" s="8">
        <f>Cases_Raw!K15</f>
        <v>798000</v>
      </c>
      <c r="I15" s="4">
        <f t="shared" si="1"/>
        <v>6.8273092369477914E-2</v>
      </c>
      <c r="J15" s="8">
        <f>E15*_xlfn.XLOOKUP(A15,Cases[Case_ID],Cases[Standard_Rate])</f>
        <v>790500</v>
      </c>
      <c r="K15" s="4">
        <f t="shared" si="2"/>
        <v>1.0094876660341556</v>
      </c>
      <c r="L15" s="8">
        <f>Cases_Raw!I15</f>
        <v>270</v>
      </c>
      <c r="M15" s="8">
        <f t="shared" si="3"/>
        <v>426870</v>
      </c>
      <c r="N15" s="8">
        <f t="shared" si="4"/>
        <v>371130</v>
      </c>
      <c r="O15" s="4">
        <f t="shared" si="5"/>
        <v>0.46507518796992481</v>
      </c>
      <c r="Q15" t="str">
        <f>Invoices_Raw!A15</f>
        <v>INV014</v>
      </c>
      <c r="R15" t="str">
        <f>Invoices_Raw!B15</f>
        <v>C016</v>
      </c>
      <c r="S15" t="str">
        <f>Invoices_Raw!C15</f>
        <v>Epsilon Tech</v>
      </c>
      <c r="T15" s="1">
        <f>Invoices_Raw!D15</f>
        <v>45893</v>
      </c>
      <c r="U15">
        <f>Invoices_Raw!E15</f>
        <v>260400</v>
      </c>
      <c r="V15" s="1">
        <f>Invoices_Raw!F15</f>
        <v>45955</v>
      </c>
      <c r="W15" s="1" t="str">
        <f t="shared" si="6"/>
        <v>Paid</v>
      </c>
      <c r="X15">
        <f>IF(V15&lt;&gt;"",V15-T15,Summary!$B$1-T15)</f>
        <v>62</v>
      </c>
      <c r="Y15" t="str">
        <f t="shared" si="7"/>
        <v>61-90</v>
      </c>
    </row>
    <row r="16" spans="1:25" x14ac:dyDescent="0.2">
      <c r="A16" t="str">
        <f>Cases_Raw!A16</f>
        <v>C015</v>
      </c>
      <c r="B16" t="str">
        <f>Cases_Raw!B16</f>
        <v>Theta Health</v>
      </c>
      <c r="C16" t="str">
        <f>Cases_Raw!C16</f>
        <v>Technology</v>
      </c>
      <c r="D16">
        <f>Cases_Raw!F16</f>
        <v>1571</v>
      </c>
      <c r="E16">
        <f>Cases_Raw!G16</f>
        <v>1713</v>
      </c>
      <c r="F16" s="4">
        <f t="shared" si="0"/>
        <v>9.0388287714831317E-2</v>
      </c>
      <c r="G16" s="8">
        <f>Cases_Raw!J16</f>
        <v>773100</v>
      </c>
      <c r="H16" s="8">
        <f>Cases_Raw!K16</f>
        <v>858900</v>
      </c>
      <c r="I16" s="4">
        <f t="shared" si="1"/>
        <v>0.11098176173845557</v>
      </c>
      <c r="J16" s="8">
        <f>E16*_xlfn.XLOOKUP(A16,Cases[Case_ID],Cases[Standard_Rate])</f>
        <v>856500</v>
      </c>
      <c r="K16" s="4">
        <f t="shared" si="2"/>
        <v>1.0028021015761821</v>
      </c>
      <c r="L16" s="8">
        <f>Cases_Raw!I16</f>
        <v>270</v>
      </c>
      <c r="M16" s="8">
        <f t="shared" si="3"/>
        <v>462510</v>
      </c>
      <c r="N16" s="8">
        <f t="shared" si="4"/>
        <v>396390</v>
      </c>
      <c r="O16" s="4">
        <f t="shared" si="5"/>
        <v>0.46150890674118056</v>
      </c>
      <c r="Q16" t="str">
        <f>Invoices_Raw!A16</f>
        <v>INV015</v>
      </c>
      <c r="R16" t="str">
        <f>Invoices_Raw!B16</f>
        <v>C029</v>
      </c>
      <c r="S16" t="str">
        <f>Invoices_Raw!C16</f>
        <v>Theta Health</v>
      </c>
      <c r="T16" s="1">
        <f>Invoices_Raw!D16</f>
        <v>46121</v>
      </c>
      <c r="U16">
        <f>Invoices_Raw!E16</f>
        <v>277800</v>
      </c>
      <c r="V16" s="1">
        <f>Invoices_Raw!F16</f>
        <v>46156</v>
      </c>
      <c r="W16" s="1" t="str">
        <f t="shared" si="6"/>
        <v>Paid</v>
      </c>
      <c r="X16">
        <f>IF(V16&lt;&gt;"",V16-T16,Summary!$B$1-T16)</f>
        <v>35</v>
      </c>
      <c r="Y16" t="str">
        <f t="shared" si="7"/>
        <v>31-60</v>
      </c>
    </row>
    <row r="17" spans="1:25" x14ac:dyDescent="0.2">
      <c r="A17" t="str">
        <f>Cases_Raw!A17</f>
        <v>C016</v>
      </c>
      <c r="B17" t="str">
        <f>Cases_Raw!B17</f>
        <v>Epsilon Tech</v>
      </c>
      <c r="C17" t="str">
        <f>Cases_Raw!C17</f>
        <v>Technology</v>
      </c>
      <c r="D17">
        <f>Cases_Raw!F17</f>
        <v>1002</v>
      </c>
      <c r="E17">
        <f>Cases_Raw!G17</f>
        <v>1145</v>
      </c>
      <c r="F17" s="4">
        <f t="shared" si="0"/>
        <v>0.14271457085828343</v>
      </c>
      <c r="G17" s="8">
        <f>Cases_Raw!J17</f>
        <v>510500</v>
      </c>
      <c r="H17" s="8">
        <f>Cases_Raw!K17</f>
        <v>524500</v>
      </c>
      <c r="I17" s="4">
        <f t="shared" si="1"/>
        <v>2.742409402546523E-2</v>
      </c>
      <c r="J17" s="8">
        <f>E17*_xlfn.XLOOKUP(A17,Cases[Case_ID],Cases[Standard_Rate])</f>
        <v>572500</v>
      </c>
      <c r="K17" s="4">
        <f t="shared" si="2"/>
        <v>0.91615720524017463</v>
      </c>
      <c r="L17" s="8">
        <f>Cases_Raw!I17</f>
        <v>270</v>
      </c>
      <c r="M17" s="8">
        <f t="shared" si="3"/>
        <v>309150</v>
      </c>
      <c r="N17" s="8">
        <f t="shared" si="4"/>
        <v>215350</v>
      </c>
      <c r="O17" s="4">
        <f t="shared" si="5"/>
        <v>0.41058150619637751</v>
      </c>
      <c r="Q17" t="str">
        <f>Invoices_Raw!A17</f>
        <v>INV016</v>
      </c>
      <c r="R17" t="str">
        <f>Invoices_Raw!B17</f>
        <v>C009</v>
      </c>
      <c r="S17" t="str">
        <f>Invoices_Raw!C17</f>
        <v>Eta Consumer</v>
      </c>
      <c r="T17" s="1">
        <f>Invoices_Raw!D17</f>
        <v>46024</v>
      </c>
      <c r="U17">
        <f>Invoices_Raw!E17</f>
        <v>331800</v>
      </c>
      <c r="V17" s="1">
        <f>Invoices_Raw!F17</f>
        <v>46077</v>
      </c>
      <c r="W17" s="1" t="str">
        <f t="shared" si="6"/>
        <v>Paid</v>
      </c>
      <c r="X17">
        <f>IF(V17&lt;&gt;"",V17-T17,Summary!$B$1-T17)</f>
        <v>53</v>
      </c>
      <c r="Y17" t="str">
        <f t="shared" si="7"/>
        <v>31-60</v>
      </c>
    </row>
    <row r="18" spans="1:25" x14ac:dyDescent="0.2">
      <c r="A18" t="str">
        <f>Cases_Raw!A18</f>
        <v>C017</v>
      </c>
      <c r="B18" t="str">
        <f>Cases_Raw!B18</f>
        <v>Delta Retail</v>
      </c>
      <c r="C18" t="str">
        <f>Cases_Raw!C18</f>
        <v>Technology</v>
      </c>
      <c r="D18">
        <f>Cases_Raw!F18</f>
        <v>906</v>
      </c>
      <c r="E18">
        <f>Cases_Raw!G18</f>
        <v>970</v>
      </c>
      <c r="F18" s="4">
        <f t="shared" si="0"/>
        <v>7.0640176600441501E-2</v>
      </c>
      <c r="G18" s="8">
        <f>Cases_Raw!J18</f>
        <v>438000</v>
      </c>
      <c r="H18" s="8">
        <f>Cases_Raw!K18</f>
        <v>471600</v>
      </c>
      <c r="I18" s="4">
        <f t="shared" si="1"/>
        <v>7.6712328767123292E-2</v>
      </c>
      <c r="J18" s="8">
        <f>E18*_xlfn.XLOOKUP(A18,Cases[Case_ID],Cases[Standard_Rate])</f>
        <v>485000</v>
      </c>
      <c r="K18" s="4">
        <f t="shared" si="2"/>
        <v>0.97237113402061859</v>
      </c>
      <c r="L18" s="8">
        <f>Cases_Raw!I18</f>
        <v>270</v>
      </c>
      <c r="M18" s="8">
        <f t="shared" si="3"/>
        <v>261900</v>
      </c>
      <c r="N18" s="8">
        <f t="shared" si="4"/>
        <v>209700</v>
      </c>
      <c r="O18" s="4">
        <f t="shared" si="5"/>
        <v>0.44465648854961831</v>
      </c>
      <c r="Q18" t="str">
        <f>Invoices_Raw!A18</f>
        <v>INV017</v>
      </c>
      <c r="R18" t="str">
        <f>Invoices_Raw!B18</f>
        <v>C004</v>
      </c>
      <c r="S18" t="str">
        <f>Invoices_Raw!C18</f>
        <v>Alpha Health</v>
      </c>
      <c r="T18" s="1">
        <f>Invoices_Raw!D18</f>
        <v>46045</v>
      </c>
      <c r="U18">
        <f>Invoices_Raw!E18</f>
        <v>194600</v>
      </c>
      <c r="V18" s="1">
        <f>Invoices_Raw!F18</f>
        <v>46121</v>
      </c>
      <c r="W18" s="1" t="str">
        <f t="shared" si="6"/>
        <v>Paid</v>
      </c>
      <c r="X18">
        <f>IF(V18&lt;&gt;"",V18-T18,Summary!$B$1-T18)</f>
        <v>76</v>
      </c>
      <c r="Y18" t="str">
        <f t="shared" si="7"/>
        <v>61-90</v>
      </c>
    </row>
    <row r="19" spans="1:25" x14ac:dyDescent="0.2">
      <c r="A19" t="str">
        <f>Cases_Raw!A19</f>
        <v>C018</v>
      </c>
      <c r="B19" t="str">
        <f>Cases_Raw!B19</f>
        <v>Theta Health</v>
      </c>
      <c r="C19" t="str">
        <f>Cases_Raw!C19</f>
        <v>Consumer</v>
      </c>
      <c r="D19">
        <f>Cases_Raw!F19</f>
        <v>1304</v>
      </c>
      <c r="E19">
        <f>Cases_Raw!G19</f>
        <v>1402</v>
      </c>
      <c r="F19" s="4">
        <f t="shared" si="0"/>
        <v>7.5153374233128831E-2</v>
      </c>
      <c r="G19" s="8">
        <f>Cases_Raw!J19</f>
        <v>552600</v>
      </c>
      <c r="H19" s="8">
        <f>Cases_Raw!K19</f>
        <v>592500</v>
      </c>
      <c r="I19" s="4">
        <f t="shared" si="1"/>
        <v>7.2204125950054293E-2</v>
      </c>
      <c r="J19" s="8">
        <f>E19*_xlfn.XLOOKUP(A19,Cases[Case_ID],Cases[Standard_Rate])</f>
        <v>595850</v>
      </c>
      <c r="K19" s="4">
        <f t="shared" si="2"/>
        <v>0.99437777964252749</v>
      </c>
      <c r="L19" s="8">
        <f>Cases_Raw!I19</f>
        <v>235</v>
      </c>
      <c r="M19" s="8">
        <f t="shared" si="3"/>
        <v>329470</v>
      </c>
      <c r="N19" s="8">
        <f t="shared" si="4"/>
        <v>263030</v>
      </c>
      <c r="O19" s="4">
        <f t="shared" si="5"/>
        <v>0.44393248945147679</v>
      </c>
      <c r="Q19" t="str">
        <f>Invoices_Raw!A19</f>
        <v>INV018</v>
      </c>
      <c r="R19" t="str">
        <f>Invoices_Raw!B19</f>
        <v>C001</v>
      </c>
      <c r="S19" t="str">
        <f>Invoices_Raw!C19</f>
        <v>Alpha Health</v>
      </c>
      <c r="T19" s="1">
        <f>Invoices_Raw!D19</f>
        <v>45697</v>
      </c>
      <c r="U19">
        <f>Invoices_Raw!E19</f>
        <v>298600</v>
      </c>
      <c r="V19" s="1">
        <f>Invoices_Raw!F19</f>
        <v>45792</v>
      </c>
      <c r="W19" s="1" t="str">
        <f t="shared" si="6"/>
        <v>Paid</v>
      </c>
      <c r="X19">
        <f>IF(V19&lt;&gt;"",V19-T19,Summary!$B$1-T19)</f>
        <v>95</v>
      </c>
      <c r="Y19" t="str">
        <f t="shared" si="7"/>
        <v>90+</v>
      </c>
    </row>
    <row r="20" spans="1:25" x14ac:dyDescent="0.2">
      <c r="A20" t="str">
        <f>Cases_Raw!A20</f>
        <v>C019</v>
      </c>
      <c r="B20" t="str">
        <f>Cases_Raw!B20</f>
        <v>Theta Health</v>
      </c>
      <c r="C20" t="str">
        <f>Cases_Raw!C20</f>
        <v>Healthcare</v>
      </c>
      <c r="D20">
        <f>Cases_Raw!F20</f>
        <v>598</v>
      </c>
      <c r="E20">
        <f>Cases_Raw!G20</f>
        <v>734</v>
      </c>
      <c r="F20" s="4">
        <f t="shared" si="0"/>
        <v>0.22742474916387959</v>
      </c>
      <c r="G20" s="8">
        <f>Cases_Raw!J20</f>
        <v>270000</v>
      </c>
      <c r="H20" s="8">
        <f>Cases_Raw!K20</f>
        <v>276200</v>
      </c>
      <c r="I20" s="4">
        <f t="shared" si="1"/>
        <v>2.2962962962962963E-2</v>
      </c>
      <c r="J20" s="8">
        <f>E20*_xlfn.XLOOKUP(A20,Cases[Case_ID],Cases[Standard_Rate])</f>
        <v>330300</v>
      </c>
      <c r="K20" s="4">
        <f t="shared" si="2"/>
        <v>0.83620950650923398</v>
      </c>
      <c r="L20" s="8">
        <f>Cases_Raw!I20</f>
        <v>260</v>
      </c>
      <c r="M20" s="8">
        <f t="shared" si="3"/>
        <v>190840</v>
      </c>
      <c r="N20" s="8">
        <f t="shared" si="4"/>
        <v>85360</v>
      </c>
      <c r="O20" s="4">
        <f t="shared" si="5"/>
        <v>0.30905141202027514</v>
      </c>
      <c r="Q20" t="str">
        <f>Invoices_Raw!A20</f>
        <v>INV019</v>
      </c>
      <c r="R20" t="str">
        <f>Invoices_Raw!B20</f>
        <v>C004</v>
      </c>
      <c r="S20" t="str">
        <f>Invoices_Raw!C20</f>
        <v>Alpha Health</v>
      </c>
      <c r="T20" s="1">
        <f>Invoices_Raw!D20</f>
        <v>46075</v>
      </c>
      <c r="U20">
        <f>Invoices_Raw!E20</f>
        <v>173500</v>
      </c>
      <c r="V20" s="1">
        <f>Invoices_Raw!F20</f>
        <v>46185</v>
      </c>
      <c r="W20" s="1" t="str">
        <f t="shared" si="6"/>
        <v>Paid</v>
      </c>
      <c r="X20">
        <f>IF(V20&lt;&gt;"",V20-T20,Summary!$B$1-T20)</f>
        <v>110</v>
      </c>
      <c r="Y20" t="str">
        <f t="shared" si="7"/>
        <v>90+</v>
      </c>
    </row>
    <row r="21" spans="1:25" x14ac:dyDescent="0.2">
      <c r="A21" t="str">
        <f>Cases_Raw!A21</f>
        <v>C020</v>
      </c>
      <c r="B21" t="str">
        <f>Cases_Raw!B21</f>
        <v>Gamma Energy</v>
      </c>
      <c r="C21" t="str">
        <f>Cases_Raw!C21</f>
        <v>Healthcare</v>
      </c>
      <c r="D21">
        <f>Cases_Raw!F21</f>
        <v>1183</v>
      </c>
      <c r="E21">
        <f>Cases_Raw!G21</f>
        <v>1485</v>
      </c>
      <c r="F21" s="4">
        <f t="shared" si="0"/>
        <v>0.25528317836010145</v>
      </c>
      <c r="G21" s="8">
        <f>Cases_Raw!J21</f>
        <v>514600</v>
      </c>
      <c r="H21" s="8">
        <f>Cases_Raw!K21</f>
        <v>608000</v>
      </c>
      <c r="I21" s="4">
        <f t="shared" si="1"/>
        <v>0.18150019432568987</v>
      </c>
      <c r="J21" s="8">
        <f>E21*_xlfn.XLOOKUP(A21,Cases[Case_ID],Cases[Standard_Rate])</f>
        <v>668250</v>
      </c>
      <c r="K21" s="4">
        <f t="shared" si="2"/>
        <v>0.90983913206135425</v>
      </c>
      <c r="L21" s="8">
        <f>Cases_Raw!I21</f>
        <v>260</v>
      </c>
      <c r="M21" s="8">
        <f t="shared" si="3"/>
        <v>386100</v>
      </c>
      <c r="N21" s="8">
        <f t="shared" si="4"/>
        <v>221900</v>
      </c>
      <c r="O21" s="4">
        <f t="shared" si="5"/>
        <v>0.3649671052631579</v>
      </c>
      <c r="Q21" t="str">
        <f>Invoices_Raw!A21</f>
        <v>INV020</v>
      </c>
      <c r="R21" t="str">
        <f>Invoices_Raw!B21</f>
        <v>C001</v>
      </c>
      <c r="S21" t="str">
        <f>Invoices_Raw!C21</f>
        <v>Alpha Health</v>
      </c>
      <c r="T21" s="1">
        <f>Invoices_Raw!D21</f>
        <v>45706</v>
      </c>
      <c r="U21">
        <f>Invoices_Raw!E21</f>
        <v>350800</v>
      </c>
      <c r="V21" s="1">
        <f>Invoices_Raw!F21</f>
        <v>45772</v>
      </c>
      <c r="W21" s="1" t="str">
        <f t="shared" si="6"/>
        <v>Paid</v>
      </c>
      <c r="X21">
        <f>IF(V21&lt;&gt;"",V21-T21,Summary!$B$1-T21)</f>
        <v>66</v>
      </c>
      <c r="Y21" t="str">
        <f t="shared" si="7"/>
        <v>61-90</v>
      </c>
    </row>
    <row r="22" spans="1:25" x14ac:dyDescent="0.2">
      <c r="A22" t="str">
        <f>Cases_Raw!A22</f>
        <v>C021</v>
      </c>
      <c r="B22" t="str">
        <f>Cases_Raw!B22</f>
        <v>Zeta Financial</v>
      </c>
      <c r="C22" t="str">
        <f>Cases_Raw!C22</f>
        <v>Consumer</v>
      </c>
      <c r="D22">
        <f>Cases_Raw!F22</f>
        <v>1225</v>
      </c>
      <c r="E22">
        <f>Cases_Raw!G22</f>
        <v>1256</v>
      </c>
      <c r="F22" s="4">
        <f t="shared" si="0"/>
        <v>2.5306122448979593E-2</v>
      </c>
      <c r="G22" s="8">
        <f>Cases_Raw!J22</f>
        <v>521100</v>
      </c>
      <c r="H22" s="8">
        <f>Cases_Raw!K22</f>
        <v>487800</v>
      </c>
      <c r="I22" s="4">
        <f t="shared" si="1"/>
        <v>-6.3903281519861826E-2</v>
      </c>
      <c r="J22" s="8">
        <f>E22*_xlfn.XLOOKUP(A22,Cases[Case_ID],Cases[Standard_Rate])</f>
        <v>533800</v>
      </c>
      <c r="K22" s="4">
        <f t="shared" si="2"/>
        <v>0.91382540277257396</v>
      </c>
      <c r="L22" s="8">
        <f>Cases_Raw!I22</f>
        <v>235</v>
      </c>
      <c r="M22" s="8">
        <f t="shared" si="3"/>
        <v>295160</v>
      </c>
      <c r="N22" s="8">
        <f t="shared" si="4"/>
        <v>192640</v>
      </c>
      <c r="O22" s="4">
        <f t="shared" si="5"/>
        <v>0.39491594915949157</v>
      </c>
      <c r="Q22" t="str">
        <f>Invoices_Raw!A22</f>
        <v>INV021</v>
      </c>
      <c r="R22" t="str">
        <f>Invoices_Raw!B22</f>
        <v>C014</v>
      </c>
      <c r="S22" t="str">
        <f>Invoices_Raw!C22</f>
        <v>Gamma Energy</v>
      </c>
      <c r="T22" s="1">
        <f>Invoices_Raw!D22</f>
        <v>46186</v>
      </c>
      <c r="U22">
        <f>Invoices_Raw!E22</f>
        <v>387800</v>
      </c>
      <c r="V22" s="1">
        <f>Invoices_Raw!F22</f>
        <v>46223</v>
      </c>
      <c r="W22" s="1" t="str">
        <f t="shared" si="6"/>
        <v>Paid</v>
      </c>
      <c r="X22">
        <f>IF(V22&lt;&gt;"",V22-T22,Summary!$B$1-T22)</f>
        <v>37</v>
      </c>
      <c r="Y22" t="str">
        <f t="shared" si="7"/>
        <v>31-60</v>
      </c>
    </row>
    <row r="23" spans="1:25" x14ac:dyDescent="0.2">
      <c r="A23" t="str">
        <f>Cases_Raw!A23</f>
        <v>C022</v>
      </c>
      <c r="B23" t="str">
        <f>Cases_Raw!B23</f>
        <v>Epsilon Tech</v>
      </c>
      <c r="C23" t="str">
        <f>Cases_Raw!C23</f>
        <v>Healthcare</v>
      </c>
      <c r="D23">
        <f>Cases_Raw!F23</f>
        <v>1460</v>
      </c>
      <c r="E23">
        <f>Cases_Raw!G23</f>
        <v>1759</v>
      </c>
      <c r="F23" s="4">
        <f t="shared" si="0"/>
        <v>0.2047945205479452</v>
      </c>
      <c r="G23" s="8">
        <f>Cases_Raw!J23</f>
        <v>641100</v>
      </c>
      <c r="H23" s="8">
        <f>Cases_Raw!K23</f>
        <v>697100</v>
      </c>
      <c r="I23" s="4">
        <f t="shared" si="1"/>
        <v>8.7349867415379812E-2</v>
      </c>
      <c r="J23" s="8">
        <f>E23*_xlfn.XLOOKUP(A23,Cases[Case_ID],Cases[Standard_Rate])</f>
        <v>791550</v>
      </c>
      <c r="K23" s="4">
        <f t="shared" si="2"/>
        <v>0.88067715242246225</v>
      </c>
      <c r="L23" s="8">
        <f>Cases_Raw!I23</f>
        <v>260</v>
      </c>
      <c r="M23" s="8">
        <f t="shared" si="3"/>
        <v>457340</v>
      </c>
      <c r="N23" s="8">
        <f t="shared" si="4"/>
        <v>239760</v>
      </c>
      <c r="O23" s="4">
        <f t="shared" si="5"/>
        <v>0.34393917658872469</v>
      </c>
      <c r="Q23" t="str">
        <f>Invoices_Raw!A23</f>
        <v>INV022</v>
      </c>
      <c r="R23" t="str">
        <f>Invoices_Raw!B23</f>
        <v>C021</v>
      </c>
      <c r="S23" t="str">
        <f>Invoices_Raw!C23</f>
        <v>Zeta Financial</v>
      </c>
      <c r="T23" s="1">
        <f>Invoices_Raw!D23</f>
        <v>45785</v>
      </c>
      <c r="U23">
        <f>Invoices_Raw!E23</f>
        <v>225700</v>
      </c>
      <c r="V23" s="1">
        <f>Invoices_Raw!F23</f>
        <v>45857</v>
      </c>
      <c r="W23" s="1" t="str">
        <f t="shared" si="6"/>
        <v>Paid</v>
      </c>
      <c r="X23">
        <f>IF(V23&lt;&gt;"",V23-T23,Summary!$B$1-T23)</f>
        <v>72</v>
      </c>
      <c r="Y23" t="str">
        <f t="shared" si="7"/>
        <v>61-90</v>
      </c>
    </row>
    <row r="24" spans="1:25" x14ac:dyDescent="0.2">
      <c r="A24" t="str">
        <f>Cases_Raw!A24</f>
        <v>C023</v>
      </c>
      <c r="B24" t="str">
        <f>Cases_Raw!B24</f>
        <v>Beta Bank</v>
      </c>
      <c r="C24" t="str">
        <f>Cases_Raw!C24</f>
        <v>Consumer</v>
      </c>
      <c r="D24">
        <f>Cases_Raw!F24</f>
        <v>1112</v>
      </c>
      <c r="E24">
        <f>Cases_Raw!G24</f>
        <v>1145</v>
      </c>
      <c r="F24" s="4">
        <f t="shared" si="0"/>
        <v>2.9676258992805755E-2</v>
      </c>
      <c r="G24" s="8">
        <f>Cases_Raw!J24</f>
        <v>469900</v>
      </c>
      <c r="H24" s="8">
        <f>Cases_Raw!K24</f>
        <v>489400</v>
      </c>
      <c r="I24" s="4">
        <f t="shared" si="1"/>
        <v>4.1498191104490316E-2</v>
      </c>
      <c r="J24" s="8">
        <f>E24*_xlfn.XLOOKUP(A24,Cases[Case_ID],Cases[Standard_Rate])</f>
        <v>486625</v>
      </c>
      <c r="K24" s="4">
        <f t="shared" si="2"/>
        <v>1.0057025430259441</v>
      </c>
      <c r="L24" s="8">
        <f>Cases_Raw!I24</f>
        <v>235</v>
      </c>
      <c r="M24" s="8">
        <f t="shared" si="3"/>
        <v>269075</v>
      </c>
      <c r="N24" s="8">
        <f t="shared" si="4"/>
        <v>220325</v>
      </c>
      <c r="O24" s="4">
        <f t="shared" si="5"/>
        <v>0.45019411524315489</v>
      </c>
      <c r="Q24" t="str">
        <f>Invoices_Raw!A24</f>
        <v>INV023</v>
      </c>
      <c r="R24" t="str">
        <f>Invoices_Raw!B24</f>
        <v>C016</v>
      </c>
      <c r="S24" t="str">
        <f>Invoices_Raw!C24</f>
        <v>Epsilon Tech</v>
      </c>
      <c r="T24" s="1">
        <f>Invoices_Raw!D24</f>
        <v>45863</v>
      </c>
      <c r="U24">
        <f>Invoices_Raw!E24</f>
        <v>263400</v>
      </c>
      <c r="V24" s="1">
        <f>Invoices_Raw!F24</f>
        <v>45887</v>
      </c>
      <c r="W24" s="1" t="str">
        <f t="shared" si="6"/>
        <v>Paid</v>
      </c>
      <c r="X24">
        <f>IF(V24&lt;&gt;"",V24-T24,Summary!$B$1-T24)</f>
        <v>24</v>
      </c>
      <c r="Y24" t="str">
        <f t="shared" si="7"/>
        <v>0-30</v>
      </c>
    </row>
    <row r="25" spans="1:25" x14ac:dyDescent="0.2">
      <c r="A25" t="str">
        <f>Cases_Raw!A25</f>
        <v>C024</v>
      </c>
      <c r="B25" t="str">
        <f>Cases_Raw!B25</f>
        <v>Theta Health</v>
      </c>
      <c r="C25" t="str">
        <f>Cases_Raw!C25</f>
        <v>Technology</v>
      </c>
      <c r="D25">
        <f>Cases_Raw!F25</f>
        <v>1985</v>
      </c>
      <c r="E25">
        <f>Cases_Raw!G25</f>
        <v>2026</v>
      </c>
      <c r="F25" s="4">
        <f t="shared" si="0"/>
        <v>2.0654911838790931E-2</v>
      </c>
      <c r="G25" s="8">
        <f>Cases_Raw!J25</f>
        <v>986900</v>
      </c>
      <c r="H25" s="8">
        <f>Cases_Raw!K25</f>
        <v>1019100</v>
      </c>
      <c r="I25" s="4">
        <f t="shared" si="1"/>
        <v>3.2627419191407436E-2</v>
      </c>
      <c r="J25" s="8">
        <f>E25*_xlfn.XLOOKUP(A25,Cases[Case_ID],Cases[Standard_Rate])</f>
        <v>1013000</v>
      </c>
      <c r="K25" s="4">
        <f t="shared" si="2"/>
        <v>1.0060217176702864</v>
      </c>
      <c r="L25" s="8">
        <f>Cases_Raw!I25</f>
        <v>270</v>
      </c>
      <c r="M25" s="8">
        <f t="shared" si="3"/>
        <v>547020</v>
      </c>
      <c r="N25" s="8">
        <f t="shared" si="4"/>
        <v>472080</v>
      </c>
      <c r="O25" s="4">
        <f t="shared" si="5"/>
        <v>0.46323226376214305</v>
      </c>
      <c r="Q25" t="str">
        <f>Invoices_Raw!A25</f>
        <v>INV024</v>
      </c>
      <c r="R25" t="str">
        <f>Invoices_Raw!B25</f>
        <v>C020</v>
      </c>
      <c r="S25" t="str">
        <f>Invoices_Raw!C25</f>
        <v>Gamma Energy</v>
      </c>
      <c r="T25" s="1">
        <f>Invoices_Raw!D25</f>
        <v>46049</v>
      </c>
      <c r="U25">
        <f>Invoices_Raw!E25</f>
        <v>320400</v>
      </c>
      <c r="V25" s="1">
        <f>Invoices_Raw!F25</f>
        <v>46117</v>
      </c>
      <c r="W25" s="1" t="str">
        <f t="shared" si="6"/>
        <v>Paid</v>
      </c>
      <c r="X25">
        <f>IF(V25&lt;&gt;"",V25-T25,Summary!$B$1-T25)</f>
        <v>68</v>
      </c>
      <c r="Y25" t="str">
        <f t="shared" si="7"/>
        <v>61-90</v>
      </c>
    </row>
    <row r="26" spans="1:25" x14ac:dyDescent="0.2">
      <c r="A26" t="str">
        <f>Cases_Raw!A26</f>
        <v>C025</v>
      </c>
      <c r="B26" t="str">
        <f>Cases_Raw!B26</f>
        <v>Delta Retail</v>
      </c>
      <c r="C26" t="str">
        <f>Cases_Raw!C26</f>
        <v>Consumer</v>
      </c>
      <c r="D26">
        <f>Cases_Raw!F26</f>
        <v>1142</v>
      </c>
      <c r="E26">
        <f>Cases_Raw!G26</f>
        <v>1315</v>
      </c>
      <c r="F26" s="4">
        <f t="shared" si="0"/>
        <v>0.15148861646234676</v>
      </c>
      <c r="G26" s="8">
        <f>Cases_Raw!J26</f>
        <v>479300</v>
      </c>
      <c r="H26" s="8">
        <f>Cases_Raw!K26</f>
        <v>541300</v>
      </c>
      <c r="I26" s="4">
        <f t="shared" si="1"/>
        <v>0.1293553098268308</v>
      </c>
      <c r="J26" s="8">
        <f>E26*_xlfn.XLOOKUP(A26,Cases[Case_ID],Cases[Standard_Rate])</f>
        <v>558875</v>
      </c>
      <c r="K26" s="4">
        <f t="shared" si="2"/>
        <v>0.96855289644374865</v>
      </c>
      <c r="L26" s="8">
        <f>Cases_Raw!I26</f>
        <v>235</v>
      </c>
      <c r="M26" s="8">
        <f t="shared" si="3"/>
        <v>309025</v>
      </c>
      <c r="N26" s="8">
        <f t="shared" si="4"/>
        <v>232275</v>
      </c>
      <c r="O26" s="4">
        <f t="shared" si="5"/>
        <v>0.42910585627193792</v>
      </c>
      <c r="Q26" t="str">
        <f>Invoices_Raw!A26</f>
        <v>INV025</v>
      </c>
      <c r="R26" t="str">
        <f>Invoices_Raw!B26</f>
        <v>C024</v>
      </c>
      <c r="S26" t="str">
        <f>Invoices_Raw!C26</f>
        <v>Theta Health</v>
      </c>
      <c r="T26" s="1">
        <f>Invoices_Raw!D26</f>
        <v>45836</v>
      </c>
      <c r="U26">
        <f>Invoices_Raw!E26</f>
        <v>480600</v>
      </c>
      <c r="V26" s="1">
        <f>Invoices_Raw!F26</f>
        <v>45855</v>
      </c>
      <c r="W26" s="1" t="str">
        <f t="shared" si="6"/>
        <v>Paid</v>
      </c>
      <c r="X26">
        <f>IF(V26&lt;&gt;"",V26-T26,Summary!$B$1-T26)</f>
        <v>19</v>
      </c>
      <c r="Y26" t="str">
        <f t="shared" si="7"/>
        <v>0-30</v>
      </c>
    </row>
    <row r="27" spans="1:25" x14ac:dyDescent="0.2">
      <c r="A27" t="str">
        <f>Cases_Raw!A27</f>
        <v>C026</v>
      </c>
      <c r="B27" t="str">
        <f>Cases_Raw!B27</f>
        <v>Zeta Financial</v>
      </c>
      <c r="C27" t="str">
        <f>Cases_Raw!C27</f>
        <v>Technology</v>
      </c>
      <c r="D27">
        <f>Cases_Raw!F27</f>
        <v>1528</v>
      </c>
      <c r="E27">
        <f>Cases_Raw!G27</f>
        <v>1569</v>
      </c>
      <c r="F27" s="4">
        <f t="shared" si="0"/>
        <v>2.6832460732984294E-2</v>
      </c>
      <c r="G27" s="8">
        <f>Cases_Raw!J27</f>
        <v>730600</v>
      </c>
      <c r="H27" s="8">
        <f>Cases_Raw!K27</f>
        <v>727600</v>
      </c>
      <c r="I27" s="4">
        <f t="shared" si="1"/>
        <v>-4.1062140706268823E-3</v>
      </c>
      <c r="J27" s="8">
        <f>E27*_xlfn.XLOOKUP(A27,Cases[Case_ID],Cases[Standard_Rate])</f>
        <v>784500</v>
      </c>
      <c r="K27" s="4">
        <f t="shared" si="2"/>
        <v>0.92746972594008925</v>
      </c>
      <c r="L27" s="8">
        <f>Cases_Raw!I27</f>
        <v>270</v>
      </c>
      <c r="M27" s="8">
        <f t="shared" si="3"/>
        <v>423630</v>
      </c>
      <c r="N27" s="8">
        <f t="shared" si="4"/>
        <v>303970</v>
      </c>
      <c r="O27" s="4">
        <f t="shared" si="5"/>
        <v>0.41777075316107753</v>
      </c>
      <c r="Q27" t="str">
        <f>Invoices_Raw!A27</f>
        <v>INV026</v>
      </c>
      <c r="R27" t="str">
        <f>Invoices_Raw!B27</f>
        <v>C008</v>
      </c>
      <c r="S27" t="str">
        <f>Invoices_Raw!C27</f>
        <v>Epsilon Tech</v>
      </c>
      <c r="T27" s="1">
        <f>Invoices_Raw!D27</f>
        <v>46027</v>
      </c>
      <c r="U27">
        <f>Invoices_Raw!E27</f>
        <v>135000</v>
      </c>
      <c r="W27" s="1" t="str">
        <f t="shared" si="6"/>
        <v>Unpaid</v>
      </c>
      <c r="X27">
        <f>IF(V27&lt;&gt;"",V27-T27,Summary!$B$1-T27)</f>
        <v>360</v>
      </c>
      <c r="Y27" t="str">
        <f t="shared" si="7"/>
        <v>90+</v>
      </c>
    </row>
    <row r="28" spans="1:25" x14ac:dyDescent="0.2">
      <c r="A28" t="str">
        <f>Cases_Raw!A28</f>
        <v>C027</v>
      </c>
      <c r="B28" t="str">
        <f>Cases_Raw!B28</f>
        <v>Zeta Financial</v>
      </c>
      <c r="C28" t="str">
        <f>Cases_Raw!C28</f>
        <v>Technology</v>
      </c>
      <c r="D28">
        <f>Cases_Raw!F28</f>
        <v>1741</v>
      </c>
      <c r="E28">
        <f>Cases_Raw!G28</f>
        <v>1458</v>
      </c>
      <c r="F28" s="4">
        <f t="shared" si="0"/>
        <v>-0.16255025847214244</v>
      </c>
      <c r="G28" s="8">
        <f>Cases_Raw!J28</f>
        <v>877900</v>
      </c>
      <c r="H28" s="8">
        <f>Cases_Raw!K28</f>
        <v>677200</v>
      </c>
      <c r="I28" s="4">
        <f t="shared" si="1"/>
        <v>-0.22861373732771387</v>
      </c>
      <c r="J28" s="8">
        <f>E28*_xlfn.XLOOKUP(A28,Cases[Case_ID],Cases[Standard_Rate])</f>
        <v>729000</v>
      </c>
      <c r="K28" s="4">
        <f t="shared" si="2"/>
        <v>0.92894375857338818</v>
      </c>
      <c r="L28" s="8">
        <f>Cases_Raw!I28</f>
        <v>270</v>
      </c>
      <c r="M28" s="8">
        <f t="shared" si="3"/>
        <v>393660</v>
      </c>
      <c r="N28" s="8">
        <f t="shared" si="4"/>
        <v>283540</v>
      </c>
      <c r="O28" s="4">
        <f t="shared" si="5"/>
        <v>0.41869462492616655</v>
      </c>
      <c r="Q28" t="str">
        <f>Invoices_Raw!A28</f>
        <v>INV027</v>
      </c>
      <c r="R28" t="str">
        <f>Invoices_Raw!B28</f>
        <v>C007</v>
      </c>
      <c r="S28" t="str">
        <f>Invoices_Raw!C28</f>
        <v>Epsilon Tech</v>
      </c>
      <c r="T28" s="1">
        <f>Invoices_Raw!D28</f>
        <v>45908</v>
      </c>
      <c r="U28">
        <f>Invoices_Raw!E28</f>
        <v>353100</v>
      </c>
      <c r="V28" s="1">
        <f>Invoices_Raw!F28</f>
        <v>45956</v>
      </c>
      <c r="W28" s="1" t="str">
        <f t="shared" si="6"/>
        <v>Paid</v>
      </c>
      <c r="X28">
        <f>IF(V28&lt;&gt;"",V28-T28,Summary!$B$1-T28)</f>
        <v>48</v>
      </c>
      <c r="Y28" t="str">
        <f t="shared" si="7"/>
        <v>31-60</v>
      </c>
    </row>
    <row r="29" spans="1:25" x14ac:dyDescent="0.2">
      <c r="A29" t="str">
        <f>Cases_Raw!A29</f>
        <v>C028</v>
      </c>
      <c r="B29" t="str">
        <f>Cases_Raw!B29</f>
        <v>Beta Bank</v>
      </c>
      <c r="C29" t="str">
        <f>Cases_Raw!C29</f>
        <v>Financial Services</v>
      </c>
      <c r="D29">
        <f>Cases_Raw!F29</f>
        <v>1002</v>
      </c>
      <c r="E29">
        <f>Cases_Raw!G29</f>
        <v>1080</v>
      </c>
      <c r="F29" s="4">
        <f t="shared" si="0"/>
        <v>7.7844311377245512E-2</v>
      </c>
      <c r="G29" s="8">
        <f>Cases_Raw!J29</f>
        <v>462800</v>
      </c>
      <c r="H29" s="8">
        <f>Cases_Raw!K29</f>
        <v>503600</v>
      </c>
      <c r="I29" s="4">
        <f t="shared" si="1"/>
        <v>8.8159031979256702E-2</v>
      </c>
      <c r="J29" s="8">
        <f>E29*_xlfn.XLOOKUP(A29,Cases[Case_ID],Cases[Standard_Rate])</f>
        <v>513000</v>
      </c>
      <c r="K29" s="4">
        <f t="shared" si="2"/>
        <v>0.98167641325536059</v>
      </c>
      <c r="L29" s="8">
        <f>Cases_Raw!I29</f>
        <v>250</v>
      </c>
      <c r="M29" s="8">
        <f t="shared" si="3"/>
        <v>270000</v>
      </c>
      <c r="N29" s="8">
        <f t="shared" si="4"/>
        <v>233600</v>
      </c>
      <c r="O29" s="4">
        <f t="shared" si="5"/>
        <v>0.46386020651310567</v>
      </c>
      <c r="Q29" t="str">
        <f>Invoices_Raw!A29</f>
        <v>INV028</v>
      </c>
      <c r="R29" t="str">
        <f>Invoices_Raw!B29</f>
        <v>C003</v>
      </c>
      <c r="S29" t="str">
        <f>Invoices_Raw!C29</f>
        <v>Alpha Health</v>
      </c>
      <c r="T29" s="1">
        <f>Invoices_Raw!D29</f>
        <v>45961</v>
      </c>
      <c r="U29">
        <f>Invoices_Raw!E29</f>
        <v>187800</v>
      </c>
      <c r="V29" s="1">
        <f>Invoices_Raw!F29</f>
        <v>46076</v>
      </c>
      <c r="W29" s="1" t="str">
        <f t="shared" si="6"/>
        <v>Paid</v>
      </c>
      <c r="X29">
        <f>IF(V29&lt;&gt;"",V29-T29,Summary!$B$1-T29)</f>
        <v>115</v>
      </c>
      <c r="Y29" t="str">
        <f t="shared" si="7"/>
        <v>90+</v>
      </c>
    </row>
    <row r="30" spans="1:25" x14ac:dyDescent="0.2">
      <c r="A30" t="str">
        <f>Cases_Raw!A30</f>
        <v>C029</v>
      </c>
      <c r="B30" t="str">
        <f>Cases_Raw!B30</f>
        <v>Theta Health</v>
      </c>
      <c r="C30" t="str">
        <f>Cases_Raw!C30</f>
        <v>Consumer</v>
      </c>
      <c r="D30">
        <f>Cases_Raw!F30</f>
        <v>1266</v>
      </c>
      <c r="E30">
        <f>Cases_Raw!G30</f>
        <v>1289</v>
      </c>
      <c r="F30" s="4">
        <f t="shared" si="0"/>
        <v>1.8167456556082148E-2</v>
      </c>
      <c r="G30" s="8">
        <f>Cases_Raw!J30</f>
        <v>518200</v>
      </c>
      <c r="H30" s="8">
        <f>Cases_Raw!K30</f>
        <v>550900</v>
      </c>
      <c r="I30" s="4">
        <f t="shared" si="1"/>
        <v>6.3103049015824003E-2</v>
      </c>
      <c r="J30" s="8">
        <f>E30*_xlfn.XLOOKUP(A30,Cases[Case_ID],Cases[Standard_Rate])</f>
        <v>547825</v>
      </c>
      <c r="K30" s="4">
        <f t="shared" si="2"/>
        <v>1.005613106375211</v>
      </c>
      <c r="L30" s="8">
        <f>Cases_Raw!I30</f>
        <v>235</v>
      </c>
      <c r="M30" s="8">
        <f t="shared" si="3"/>
        <v>302915</v>
      </c>
      <c r="N30" s="8">
        <f t="shared" si="4"/>
        <v>247985</v>
      </c>
      <c r="O30" s="4">
        <f t="shared" si="5"/>
        <v>0.45014521691777093</v>
      </c>
      <c r="Q30" t="str">
        <f>Invoices_Raw!A30</f>
        <v>INV029</v>
      </c>
      <c r="R30" t="str">
        <f>Invoices_Raw!B30</f>
        <v>C017</v>
      </c>
      <c r="S30" t="str">
        <f>Invoices_Raw!C30</f>
        <v>Delta Retail</v>
      </c>
      <c r="T30" s="1">
        <f>Invoices_Raw!D30</f>
        <v>45759</v>
      </c>
      <c r="U30">
        <f>Invoices_Raw!E30</f>
        <v>237300</v>
      </c>
      <c r="V30" s="1">
        <f>Invoices_Raw!F30</f>
        <v>45804</v>
      </c>
      <c r="W30" s="1" t="str">
        <f t="shared" si="6"/>
        <v>Paid</v>
      </c>
      <c r="X30">
        <f>IF(V30&lt;&gt;"",V30-T30,Summary!$B$1-T30)</f>
        <v>45</v>
      </c>
      <c r="Y30" t="str">
        <f t="shared" si="7"/>
        <v>31-60</v>
      </c>
    </row>
    <row r="31" spans="1:25" x14ac:dyDescent="0.2">
      <c r="A31" t="str">
        <f>Cases_Raw!A31</f>
        <v>C030</v>
      </c>
      <c r="B31" t="str">
        <f>Cases_Raw!B31</f>
        <v>Delta Retail</v>
      </c>
      <c r="C31" t="str">
        <f>Cases_Raw!C31</f>
        <v>Financial Services</v>
      </c>
      <c r="D31">
        <f>Cases_Raw!F31</f>
        <v>897</v>
      </c>
      <c r="E31">
        <f>Cases_Raw!G31</f>
        <v>921</v>
      </c>
      <c r="F31" s="4">
        <f t="shared" si="0"/>
        <v>2.6755852842809364E-2</v>
      </c>
      <c r="G31" s="8">
        <f>Cases_Raw!J31</f>
        <v>406000</v>
      </c>
      <c r="H31" s="8">
        <f>Cases_Raw!K31</f>
        <v>439300</v>
      </c>
      <c r="I31" s="4">
        <f t="shared" si="1"/>
        <v>8.2019704433497542E-2</v>
      </c>
      <c r="J31" s="8">
        <f>E31*_xlfn.XLOOKUP(A31,Cases[Case_ID],Cases[Standard_Rate])</f>
        <v>437475</v>
      </c>
      <c r="K31" s="4">
        <f t="shared" si="2"/>
        <v>1.0041716669523972</v>
      </c>
      <c r="L31" s="8">
        <f>Cases_Raw!I31</f>
        <v>250</v>
      </c>
      <c r="M31" s="8">
        <f t="shared" si="3"/>
        <v>230250</v>
      </c>
      <c r="N31" s="8">
        <f t="shared" si="4"/>
        <v>209050</v>
      </c>
      <c r="O31" s="4">
        <f t="shared" si="5"/>
        <v>0.47587070339175963</v>
      </c>
      <c r="Q31" t="str">
        <f>Invoices_Raw!A31</f>
        <v>INV030</v>
      </c>
      <c r="R31" t="str">
        <f>Invoices_Raw!B31</f>
        <v>C001</v>
      </c>
      <c r="S31" t="str">
        <f>Invoices_Raw!C31</f>
        <v>Alpha Health</v>
      </c>
      <c r="T31" s="1">
        <f>Invoices_Raw!D31</f>
        <v>45703</v>
      </c>
      <c r="U31">
        <f>Invoices_Raw!E31</f>
        <v>332200</v>
      </c>
      <c r="V31" s="1">
        <f>Invoices_Raw!F31</f>
        <v>45817</v>
      </c>
      <c r="W31" s="1" t="str">
        <f t="shared" si="6"/>
        <v>Paid</v>
      </c>
      <c r="X31">
        <f>IF(V31&lt;&gt;"",V31-T31,Summary!$B$1-T31)</f>
        <v>114</v>
      </c>
      <c r="Y31" t="str">
        <f t="shared" si="7"/>
        <v>90+</v>
      </c>
    </row>
    <row r="32" spans="1:25" x14ac:dyDescent="0.2">
      <c r="Q32" t="str">
        <f>Invoices_Raw!A32</f>
        <v>INV031</v>
      </c>
      <c r="R32" t="str">
        <f>Invoices_Raw!B32</f>
        <v>C016</v>
      </c>
      <c r="S32" t="str">
        <f>Invoices_Raw!C32</f>
        <v>Epsilon Tech</v>
      </c>
      <c r="T32" s="1">
        <f>Invoices_Raw!D32</f>
        <v>45865</v>
      </c>
      <c r="U32">
        <f>Invoices_Raw!E32</f>
        <v>269500</v>
      </c>
      <c r="V32" s="1">
        <f>Invoices_Raw!F32</f>
        <v>45937</v>
      </c>
      <c r="W32" s="1" t="str">
        <f t="shared" si="6"/>
        <v>Paid</v>
      </c>
      <c r="X32">
        <f>IF(V32&lt;&gt;"",V32-T32,Summary!$B$1-T32)</f>
        <v>72</v>
      </c>
      <c r="Y32" t="str">
        <f t="shared" si="7"/>
        <v>61-90</v>
      </c>
    </row>
    <row r="33" spans="17:25" x14ac:dyDescent="0.2">
      <c r="Q33" t="str">
        <f>Invoices_Raw!A33</f>
        <v>INV032</v>
      </c>
      <c r="R33" t="str">
        <f>Invoices_Raw!B33</f>
        <v>C012</v>
      </c>
      <c r="S33" t="str">
        <f>Invoices_Raw!C33</f>
        <v>Eta Consumer</v>
      </c>
      <c r="T33" s="1">
        <f>Invoices_Raw!D33</f>
        <v>46119</v>
      </c>
      <c r="U33">
        <f>Invoices_Raw!E33</f>
        <v>292400</v>
      </c>
      <c r="V33" s="1">
        <f>Invoices_Raw!F33</f>
        <v>46152</v>
      </c>
      <c r="W33" s="1" t="str">
        <f t="shared" si="6"/>
        <v>Paid</v>
      </c>
      <c r="X33">
        <f>IF(V33&lt;&gt;"",V33-T33,Summary!$B$1-T33)</f>
        <v>33</v>
      </c>
      <c r="Y33" t="str">
        <f t="shared" si="7"/>
        <v>31-60</v>
      </c>
    </row>
    <row r="34" spans="17:25" x14ac:dyDescent="0.2">
      <c r="Q34" t="str">
        <f>Invoices_Raw!A34</f>
        <v>INV033</v>
      </c>
      <c r="R34" t="str">
        <f>Invoices_Raw!B34</f>
        <v>C027</v>
      </c>
      <c r="S34" t="str">
        <f>Invoices_Raw!C34</f>
        <v>Zeta Financial</v>
      </c>
      <c r="T34" s="1">
        <f>Invoices_Raw!D34</f>
        <v>45941</v>
      </c>
      <c r="U34">
        <f>Invoices_Raw!E34</f>
        <v>370800</v>
      </c>
      <c r="W34" s="1" t="str">
        <f t="shared" si="6"/>
        <v>Unpaid</v>
      </c>
      <c r="X34">
        <f>IF(V34&lt;&gt;"",V34-T34,Summary!$B$1-T34)</f>
        <v>446</v>
      </c>
      <c r="Y34" t="str">
        <f t="shared" si="7"/>
        <v>90+</v>
      </c>
    </row>
    <row r="35" spans="17:25" x14ac:dyDescent="0.2">
      <c r="Q35" t="str">
        <f>Invoices_Raw!A35</f>
        <v>INV034</v>
      </c>
      <c r="R35" t="str">
        <f>Invoices_Raw!B35</f>
        <v>C019</v>
      </c>
      <c r="S35" t="str">
        <f>Invoices_Raw!C35</f>
        <v>Theta Health</v>
      </c>
      <c r="T35" s="1">
        <f>Invoices_Raw!D35</f>
        <v>45682</v>
      </c>
      <c r="U35">
        <f>Invoices_Raw!E35</f>
        <v>138600</v>
      </c>
      <c r="V35" s="1">
        <f>Invoices_Raw!F35</f>
        <v>45728</v>
      </c>
      <c r="W35" s="1" t="str">
        <f t="shared" si="6"/>
        <v>Paid</v>
      </c>
      <c r="X35">
        <f>IF(V35&lt;&gt;"",V35-T35,Summary!$B$1-T35)</f>
        <v>46</v>
      </c>
      <c r="Y35" t="str">
        <f t="shared" si="7"/>
        <v>31-60</v>
      </c>
    </row>
    <row r="36" spans="17:25" x14ac:dyDescent="0.2">
      <c r="Q36" t="str">
        <f>Invoices_Raw!A36</f>
        <v>INV035</v>
      </c>
      <c r="R36" t="str">
        <f>Invoices_Raw!B36</f>
        <v>C022</v>
      </c>
      <c r="S36" t="str">
        <f>Invoices_Raw!C36</f>
        <v>Epsilon Tech</v>
      </c>
      <c r="T36" s="1">
        <f>Invoices_Raw!D36</f>
        <v>46151</v>
      </c>
      <c r="U36">
        <f>Invoices_Raw!E36</f>
        <v>336200</v>
      </c>
      <c r="V36" s="1"/>
      <c r="W36" s="1" t="str">
        <f t="shared" si="6"/>
        <v>Unpaid</v>
      </c>
      <c r="X36">
        <f>IF(V36&lt;&gt;"",V36-T36,Summary!$B$1-T36)</f>
        <v>236</v>
      </c>
      <c r="Y36" t="str">
        <f t="shared" si="7"/>
        <v>90+</v>
      </c>
    </row>
    <row r="37" spans="17:25" x14ac:dyDescent="0.2">
      <c r="Q37" t="str">
        <f>Invoices_Raw!A37</f>
        <v>INV036</v>
      </c>
      <c r="R37" t="str">
        <f>Invoices_Raw!B37</f>
        <v>C023</v>
      </c>
      <c r="S37" t="str">
        <f>Invoices_Raw!C37</f>
        <v>Beta Bank</v>
      </c>
      <c r="T37" s="1">
        <f>Invoices_Raw!D37</f>
        <v>46073</v>
      </c>
      <c r="U37">
        <f>Invoices_Raw!E37</f>
        <v>259100</v>
      </c>
      <c r="V37" s="1">
        <f>Invoices_Raw!F37</f>
        <v>46143</v>
      </c>
      <c r="W37" s="1" t="str">
        <f t="shared" si="6"/>
        <v>Paid</v>
      </c>
      <c r="X37">
        <f>IF(V37&lt;&gt;"",V37-T37,Summary!$B$1-T37)</f>
        <v>70</v>
      </c>
      <c r="Y37" t="str">
        <f t="shared" si="7"/>
        <v>61-90</v>
      </c>
    </row>
    <row r="38" spans="17:25" x14ac:dyDescent="0.2">
      <c r="Q38" t="str">
        <f>Invoices_Raw!A38</f>
        <v>INV037</v>
      </c>
      <c r="R38" t="str">
        <f>Invoices_Raw!B38</f>
        <v>C022</v>
      </c>
      <c r="S38" t="str">
        <f>Invoices_Raw!C38</f>
        <v>Epsilon Tech</v>
      </c>
      <c r="T38" s="1">
        <f>Invoices_Raw!D38</f>
        <v>46155</v>
      </c>
      <c r="U38">
        <f>Invoices_Raw!E38</f>
        <v>332600</v>
      </c>
      <c r="V38" s="1">
        <f>Invoices_Raw!F38</f>
        <v>46174</v>
      </c>
      <c r="W38" s="1" t="str">
        <f t="shared" si="6"/>
        <v>Paid</v>
      </c>
      <c r="X38">
        <f>IF(V38&lt;&gt;"",V38-T38,Summary!$B$1-T38)</f>
        <v>19</v>
      </c>
      <c r="Y38" t="str">
        <f t="shared" si="7"/>
        <v>0-30</v>
      </c>
    </row>
    <row r="39" spans="17:25" x14ac:dyDescent="0.2">
      <c r="Q39" t="str">
        <f>Invoices_Raw!A39</f>
        <v>INV038</v>
      </c>
      <c r="R39" t="str">
        <f>Invoices_Raw!B39</f>
        <v>C014</v>
      </c>
      <c r="S39" t="str">
        <f>Invoices_Raw!C39</f>
        <v>Gamma Energy</v>
      </c>
      <c r="T39" s="1">
        <f>Invoices_Raw!D39</f>
        <v>46188</v>
      </c>
      <c r="U39">
        <f>Invoices_Raw!E39</f>
        <v>394100</v>
      </c>
      <c r="V39" s="1">
        <f>Invoices_Raw!F39</f>
        <v>46247</v>
      </c>
      <c r="W39" s="1" t="str">
        <f t="shared" si="6"/>
        <v>Paid</v>
      </c>
      <c r="X39">
        <f>IF(V39&lt;&gt;"",V39-T39,Summary!$B$1-T39)</f>
        <v>59</v>
      </c>
      <c r="Y39" t="str">
        <f t="shared" si="7"/>
        <v>31-60</v>
      </c>
    </row>
    <row r="40" spans="17:25" x14ac:dyDescent="0.2">
      <c r="Q40" t="str">
        <f>Invoices_Raw!A40</f>
        <v>INV039</v>
      </c>
      <c r="R40" t="str">
        <f>Invoices_Raw!B40</f>
        <v>C030</v>
      </c>
      <c r="S40" t="str">
        <f>Invoices_Raw!C40</f>
        <v>Delta Retail</v>
      </c>
      <c r="T40" s="1">
        <f>Invoices_Raw!D40</f>
        <v>45910</v>
      </c>
      <c r="U40">
        <f>Invoices_Raw!E40</f>
        <v>201100</v>
      </c>
      <c r="V40" s="1">
        <f>Invoices_Raw!F40</f>
        <v>45928</v>
      </c>
      <c r="W40" s="1" t="str">
        <f t="shared" si="6"/>
        <v>Paid</v>
      </c>
      <c r="X40">
        <f>IF(V40&lt;&gt;"",V40-T40,Summary!$B$1-T40)</f>
        <v>18</v>
      </c>
      <c r="Y40" t="str">
        <f t="shared" si="7"/>
        <v>0-30</v>
      </c>
    </row>
    <row r="41" spans="17:25" x14ac:dyDescent="0.2">
      <c r="Q41" t="str">
        <f>Invoices_Raw!A41</f>
        <v>INV040</v>
      </c>
      <c r="R41" t="str">
        <f>Invoices_Raw!B41</f>
        <v>C006</v>
      </c>
      <c r="S41" t="str">
        <f>Invoices_Raw!C41</f>
        <v>Theta Health</v>
      </c>
      <c r="T41" s="1">
        <f>Invoices_Raw!D41</f>
        <v>45701</v>
      </c>
      <c r="U41">
        <f>Invoices_Raw!E41</f>
        <v>172500</v>
      </c>
      <c r="V41" s="1">
        <f>Invoices_Raw!F41</f>
        <v>45731</v>
      </c>
      <c r="W41" s="1" t="str">
        <f t="shared" si="6"/>
        <v>Paid</v>
      </c>
      <c r="X41">
        <f>IF(V41&lt;&gt;"",V41-T41,Summary!$B$1-T41)</f>
        <v>30</v>
      </c>
      <c r="Y41" t="str">
        <f t="shared" si="7"/>
        <v>0-30</v>
      </c>
    </row>
    <row r="42" spans="17:25" x14ac:dyDescent="0.2">
      <c r="Q42" t="str">
        <f>Invoices_Raw!A42</f>
        <v>INV041</v>
      </c>
      <c r="R42" t="str">
        <f>Invoices_Raw!B42</f>
        <v>C006</v>
      </c>
      <c r="S42" t="str">
        <f>Invoices_Raw!C42</f>
        <v>Theta Health</v>
      </c>
      <c r="T42" s="1">
        <f>Invoices_Raw!D42</f>
        <v>45697</v>
      </c>
      <c r="U42">
        <f>Invoices_Raw!E42</f>
        <v>208200</v>
      </c>
      <c r="V42" s="1">
        <f>Invoices_Raw!F42</f>
        <v>45735</v>
      </c>
      <c r="W42" s="1" t="str">
        <f t="shared" si="6"/>
        <v>Paid</v>
      </c>
      <c r="X42">
        <f>IF(V42&lt;&gt;"",V42-T42,Summary!$B$1-T42)</f>
        <v>38</v>
      </c>
      <c r="Y42" t="str">
        <f t="shared" si="7"/>
        <v>31-60</v>
      </c>
    </row>
    <row r="43" spans="17:25" x14ac:dyDescent="0.2">
      <c r="Q43" t="str">
        <f>Invoices_Raw!A43</f>
        <v>INV042</v>
      </c>
      <c r="R43" t="str">
        <f>Invoices_Raw!B43</f>
        <v>C013</v>
      </c>
      <c r="S43" t="str">
        <f>Invoices_Raw!C43</f>
        <v>Gamma Energy</v>
      </c>
      <c r="T43" s="1">
        <f>Invoices_Raw!D43</f>
        <v>46094</v>
      </c>
      <c r="U43">
        <f>Invoices_Raw!E43</f>
        <v>340800</v>
      </c>
      <c r="V43" s="1">
        <f>Invoices_Raw!F43</f>
        <v>46124</v>
      </c>
      <c r="W43" s="1" t="str">
        <f t="shared" si="6"/>
        <v>Paid</v>
      </c>
      <c r="X43">
        <f>IF(V43&lt;&gt;"",V43-T43,Summary!$B$1-T43)</f>
        <v>30</v>
      </c>
      <c r="Y43" t="str">
        <f t="shared" si="7"/>
        <v>0-30</v>
      </c>
    </row>
    <row r="44" spans="17:25" x14ac:dyDescent="0.2">
      <c r="Q44" t="str">
        <f>Invoices_Raw!A44</f>
        <v>INV043</v>
      </c>
      <c r="R44" t="str">
        <f>Invoices_Raw!B44</f>
        <v>C019</v>
      </c>
      <c r="S44" t="str">
        <f>Invoices_Raw!C44</f>
        <v>Theta Health</v>
      </c>
      <c r="T44" s="1">
        <f>Invoices_Raw!D44</f>
        <v>45660</v>
      </c>
      <c r="U44">
        <f>Invoices_Raw!E44</f>
        <v>143500</v>
      </c>
      <c r="V44" s="1">
        <f>Invoices_Raw!F44</f>
        <v>45729</v>
      </c>
      <c r="W44" s="1" t="str">
        <f t="shared" si="6"/>
        <v>Paid</v>
      </c>
      <c r="X44">
        <f>IF(V44&lt;&gt;"",V44-T44,Summary!$B$1-T44)</f>
        <v>69</v>
      </c>
      <c r="Y44" t="str">
        <f t="shared" si="7"/>
        <v>61-90</v>
      </c>
    </row>
    <row r="45" spans="17:25" x14ac:dyDescent="0.2">
      <c r="Q45" t="str">
        <f>Invoices_Raw!A45</f>
        <v>INV044</v>
      </c>
      <c r="R45" t="str">
        <f>Invoices_Raw!B45</f>
        <v>C022</v>
      </c>
      <c r="S45" t="str">
        <f>Invoices_Raw!C45</f>
        <v>Epsilon Tech</v>
      </c>
      <c r="T45" s="1">
        <f>Invoices_Raw!D45</f>
        <v>46159</v>
      </c>
      <c r="U45">
        <f>Invoices_Raw!E45</f>
        <v>342200</v>
      </c>
      <c r="V45" s="1">
        <f>Invoices_Raw!F45</f>
        <v>46175</v>
      </c>
      <c r="W45" s="1" t="str">
        <f t="shared" si="6"/>
        <v>Paid</v>
      </c>
      <c r="X45">
        <f>IF(V45&lt;&gt;"",V45-T45,Summary!$B$1-T45)</f>
        <v>16</v>
      </c>
      <c r="Y45" t="str">
        <f t="shared" si="7"/>
        <v>0-30</v>
      </c>
    </row>
    <row r="46" spans="17:25" x14ac:dyDescent="0.2">
      <c r="Q46" t="str">
        <f>Invoices_Raw!A46</f>
        <v>INV045</v>
      </c>
      <c r="R46" t="str">
        <f>Invoices_Raw!B46</f>
        <v>C008</v>
      </c>
      <c r="S46" t="str">
        <f>Invoices_Raw!C46</f>
        <v>Epsilon Tech</v>
      </c>
      <c r="T46" s="1">
        <f>Invoices_Raw!D46</f>
        <v>46019</v>
      </c>
      <c r="U46">
        <f>Invoices_Raw!E46</f>
        <v>123100</v>
      </c>
      <c r="V46" s="1">
        <f>Invoices_Raw!F46</f>
        <v>46082</v>
      </c>
      <c r="W46" s="1" t="str">
        <f t="shared" si="6"/>
        <v>Paid</v>
      </c>
      <c r="X46">
        <f>IF(V46&lt;&gt;"",V46-T46,Summary!$B$1-T46)</f>
        <v>63</v>
      </c>
      <c r="Y46" t="str">
        <f t="shared" si="7"/>
        <v>61-90</v>
      </c>
    </row>
    <row r="47" spans="17:25" x14ac:dyDescent="0.2">
      <c r="Q47" t="str">
        <f>Invoices_Raw!A47</f>
        <v>INV046</v>
      </c>
      <c r="R47" t="str">
        <f>Invoices_Raw!B47</f>
        <v>C027</v>
      </c>
      <c r="S47" t="str">
        <f>Invoices_Raw!C47</f>
        <v>Zeta Financial</v>
      </c>
      <c r="T47" s="1">
        <f>Invoices_Raw!D47</f>
        <v>45935</v>
      </c>
      <c r="U47">
        <f>Invoices_Raw!E47</f>
        <v>315300</v>
      </c>
      <c r="V47" s="1">
        <f>Invoices_Raw!F47</f>
        <v>45977</v>
      </c>
      <c r="W47" s="1" t="str">
        <f t="shared" si="6"/>
        <v>Paid</v>
      </c>
      <c r="X47">
        <f>IF(V47&lt;&gt;"",V47-T47,Summary!$B$1-T47)</f>
        <v>42</v>
      </c>
      <c r="Y47" t="str">
        <f t="shared" si="7"/>
        <v>31-60</v>
      </c>
    </row>
    <row r="48" spans="17:25" x14ac:dyDescent="0.2">
      <c r="Q48" t="str">
        <f>Invoices_Raw!A48</f>
        <v>INV047</v>
      </c>
      <c r="R48" t="str">
        <f>Invoices_Raw!B48</f>
        <v>C027</v>
      </c>
      <c r="S48" t="str">
        <f>Invoices_Raw!C48</f>
        <v>Zeta Financial</v>
      </c>
      <c r="T48" s="1">
        <f>Invoices_Raw!D48</f>
        <v>45928</v>
      </c>
      <c r="U48">
        <f>Invoices_Raw!E48</f>
        <v>321700</v>
      </c>
      <c r="V48" s="1">
        <f>Invoices_Raw!F48</f>
        <v>45974</v>
      </c>
      <c r="W48" s="1" t="str">
        <f t="shared" si="6"/>
        <v>Paid</v>
      </c>
      <c r="X48">
        <f>IF(V48&lt;&gt;"",V48-T48,Summary!$B$1-T48)</f>
        <v>46</v>
      </c>
      <c r="Y48" t="str">
        <f t="shared" si="7"/>
        <v>31-60</v>
      </c>
    </row>
    <row r="49" spans="17:25" x14ac:dyDescent="0.2">
      <c r="Q49" t="str">
        <f>Invoices_Raw!A49</f>
        <v>INV048</v>
      </c>
      <c r="R49" t="str">
        <f>Invoices_Raw!B49</f>
        <v>C002</v>
      </c>
      <c r="S49" t="str">
        <f>Invoices_Raw!C49</f>
        <v>Alpha Health</v>
      </c>
      <c r="T49" s="1">
        <f>Invoices_Raw!D49</f>
        <v>45832</v>
      </c>
      <c r="U49">
        <f>Invoices_Raw!E49</f>
        <v>203400</v>
      </c>
      <c r="V49" s="1"/>
      <c r="W49" s="1" t="str">
        <f t="shared" si="6"/>
        <v>Unpaid</v>
      </c>
      <c r="X49">
        <f>IF(V49&lt;&gt;"",V49-T49,Summary!$B$1-T49)</f>
        <v>555</v>
      </c>
      <c r="Y49" t="str">
        <f t="shared" si="7"/>
        <v>90+</v>
      </c>
    </row>
    <row r="50" spans="17:25" x14ac:dyDescent="0.2">
      <c r="Q50" t="str">
        <f>Invoices_Raw!A50</f>
        <v>INV049</v>
      </c>
      <c r="R50" t="str">
        <f>Invoices_Raw!B50</f>
        <v>C021</v>
      </c>
      <c r="S50" t="str">
        <f>Invoices_Raw!C50</f>
        <v>Zeta Financial</v>
      </c>
      <c r="T50" s="1">
        <f>Invoices_Raw!D50</f>
        <v>45773</v>
      </c>
      <c r="U50">
        <f>Invoices_Raw!E50</f>
        <v>254400</v>
      </c>
      <c r="V50" s="1">
        <f>Invoices_Raw!F50</f>
        <v>45807</v>
      </c>
      <c r="W50" s="1" t="str">
        <f t="shared" si="6"/>
        <v>Paid</v>
      </c>
      <c r="X50">
        <f>IF(V50&lt;&gt;"",V50-T50,Summary!$B$1-T50)</f>
        <v>34</v>
      </c>
      <c r="Y50" t="str">
        <f t="shared" si="7"/>
        <v>31-60</v>
      </c>
    </row>
    <row r="51" spans="17:25" x14ac:dyDescent="0.2">
      <c r="Q51" t="str">
        <f>Invoices_Raw!A51</f>
        <v>INV050</v>
      </c>
      <c r="R51" t="str">
        <f>Invoices_Raw!B51</f>
        <v>C030</v>
      </c>
      <c r="S51" t="str">
        <f>Invoices_Raw!C51</f>
        <v>Delta Retail</v>
      </c>
      <c r="T51" s="1">
        <f>Invoices_Raw!D51</f>
        <v>45930</v>
      </c>
      <c r="U51">
        <f>Invoices_Raw!E51</f>
        <v>226700</v>
      </c>
      <c r="V51" s="1"/>
      <c r="W51" s="1" t="str">
        <f t="shared" si="6"/>
        <v>Unpaid</v>
      </c>
      <c r="X51">
        <f>IF(V51&lt;&gt;"",V51-T51,Summary!$B$1-T51)</f>
        <v>457</v>
      </c>
      <c r="Y51" t="str">
        <f t="shared" si="7"/>
        <v>90+</v>
      </c>
    </row>
    <row r="52" spans="17:25" x14ac:dyDescent="0.2">
      <c r="Q52" t="str">
        <f>Invoices_Raw!A52</f>
        <v>INV051</v>
      </c>
      <c r="R52" t="str">
        <f>Invoices_Raw!B52</f>
        <v>C001</v>
      </c>
      <c r="S52" t="str">
        <f>Invoices_Raw!C52</f>
        <v>Alpha Health</v>
      </c>
      <c r="T52" s="1">
        <f>Invoices_Raw!D52</f>
        <v>45693</v>
      </c>
      <c r="U52">
        <f>Invoices_Raw!E52</f>
        <v>315000</v>
      </c>
      <c r="V52" s="1">
        <f>Invoices_Raw!F52</f>
        <v>45780</v>
      </c>
      <c r="W52" s="1" t="str">
        <f t="shared" si="6"/>
        <v>Paid</v>
      </c>
      <c r="X52">
        <f>IF(V52&lt;&gt;"",V52-T52,Summary!$B$1-T52)</f>
        <v>87</v>
      </c>
      <c r="Y52" t="str">
        <f t="shared" si="7"/>
        <v>61-90</v>
      </c>
    </row>
    <row r="53" spans="17:25" x14ac:dyDescent="0.2">
      <c r="Q53" t="str">
        <f>Invoices_Raw!A53</f>
        <v>INV052</v>
      </c>
      <c r="R53" t="str">
        <f>Invoices_Raw!B53</f>
        <v>C028</v>
      </c>
      <c r="S53" t="str">
        <f>Invoices_Raw!C53</f>
        <v>Beta Bank</v>
      </c>
      <c r="T53" s="1">
        <f>Invoices_Raw!D53</f>
        <v>46119</v>
      </c>
      <c r="U53">
        <f>Invoices_Raw!E53</f>
        <v>274700</v>
      </c>
      <c r="V53" s="1">
        <f>Invoices_Raw!F53</f>
        <v>46183</v>
      </c>
      <c r="W53" s="1" t="str">
        <f t="shared" si="6"/>
        <v>Paid</v>
      </c>
      <c r="X53">
        <f>IF(V53&lt;&gt;"",V53-T53,Summary!$B$1-T53)</f>
        <v>64</v>
      </c>
      <c r="Y53" t="str">
        <f t="shared" si="7"/>
        <v>61-90</v>
      </c>
    </row>
    <row r="54" spans="17:25" x14ac:dyDescent="0.2">
      <c r="Q54" t="str">
        <f>Invoices_Raw!A54</f>
        <v>INV053</v>
      </c>
      <c r="R54" t="str">
        <f>Invoices_Raw!B54</f>
        <v>C015</v>
      </c>
      <c r="S54" t="str">
        <f>Invoices_Raw!C54</f>
        <v>Theta Health</v>
      </c>
      <c r="T54" s="1">
        <f>Invoices_Raw!D54</f>
        <v>45720</v>
      </c>
      <c r="U54">
        <f>Invoices_Raw!E54</f>
        <v>449900</v>
      </c>
      <c r="V54" s="1">
        <f>Invoices_Raw!F54</f>
        <v>45769</v>
      </c>
      <c r="W54" s="1" t="str">
        <f t="shared" si="6"/>
        <v>Paid</v>
      </c>
      <c r="X54">
        <f>IF(V54&lt;&gt;"",V54-T54,Summary!$B$1-T54)</f>
        <v>49</v>
      </c>
      <c r="Y54" t="str">
        <f t="shared" si="7"/>
        <v>31-60</v>
      </c>
    </row>
    <row r="55" spans="17:25" x14ac:dyDescent="0.2">
      <c r="Q55" t="str">
        <f>Invoices_Raw!A55</f>
        <v>INV054</v>
      </c>
      <c r="R55" t="str">
        <f>Invoices_Raw!B55</f>
        <v>C001</v>
      </c>
      <c r="S55" t="str">
        <f>Invoices_Raw!C55</f>
        <v>Alpha Health</v>
      </c>
      <c r="T55" s="1">
        <f>Invoices_Raw!D55</f>
        <v>45687</v>
      </c>
      <c r="U55">
        <f>Invoices_Raw!E55</f>
        <v>333100</v>
      </c>
      <c r="V55" s="1">
        <f>Invoices_Raw!F55</f>
        <v>45768</v>
      </c>
      <c r="W55" s="1" t="str">
        <f t="shared" si="6"/>
        <v>Paid</v>
      </c>
      <c r="X55">
        <f>IF(V55&lt;&gt;"",V55-T55,Summary!$B$1-T55)</f>
        <v>81</v>
      </c>
      <c r="Y55" t="str">
        <f t="shared" si="7"/>
        <v>61-90</v>
      </c>
    </row>
    <row r="56" spans="17:25" x14ac:dyDescent="0.2">
      <c r="Q56" t="str">
        <f>Invoices_Raw!A56</f>
        <v>INV055</v>
      </c>
      <c r="R56" t="str">
        <f>Invoices_Raw!B56</f>
        <v>C005</v>
      </c>
      <c r="S56" t="str">
        <f>Invoices_Raw!C56</f>
        <v>Gamma Energy</v>
      </c>
      <c r="T56" s="1">
        <f>Invoices_Raw!D56</f>
        <v>45995</v>
      </c>
      <c r="U56">
        <f>Invoices_Raw!E56</f>
        <v>230600</v>
      </c>
      <c r="V56" s="1"/>
      <c r="W56" s="1" t="str">
        <f t="shared" si="6"/>
        <v>Unpaid</v>
      </c>
      <c r="X56">
        <f>IF(V56&lt;&gt;"",V56-T56,Summary!$B$1-T56)</f>
        <v>392</v>
      </c>
      <c r="Y56" t="str">
        <f t="shared" si="7"/>
        <v>90+</v>
      </c>
    </row>
    <row r="57" spans="17:25" x14ac:dyDescent="0.2">
      <c r="Q57" t="str">
        <f>Invoices_Raw!A57</f>
        <v>INV056</v>
      </c>
      <c r="R57" t="str">
        <f>Invoices_Raw!B57</f>
        <v>C028</v>
      </c>
      <c r="S57" t="str">
        <f>Invoices_Raw!C57</f>
        <v>Beta Bank</v>
      </c>
      <c r="T57" s="1">
        <f>Invoices_Raw!D57</f>
        <v>46138</v>
      </c>
      <c r="U57">
        <f>Invoices_Raw!E57</f>
        <v>247800</v>
      </c>
      <c r="V57" s="1"/>
      <c r="W57" s="1" t="str">
        <f t="shared" si="6"/>
        <v>Unpaid</v>
      </c>
      <c r="X57">
        <f>IF(V57&lt;&gt;"",V57-T57,Summary!$B$1-T57)</f>
        <v>249</v>
      </c>
      <c r="Y57" t="str">
        <f t="shared" si="7"/>
        <v>90+</v>
      </c>
    </row>
    <row r="58" spans="17:25" x14ac:dyDescent="0.2">
      <c r="Q58" t="str">
        <f>Invoices_Raw!A58</f>
        <v>INV057</v>
      </c>
      <c r="R58" t="str">
        <f>Invoices_Raw!B58</f>
        <v>C029</v>
      </c>
      <c r="S58" t="str">
        <f>Invoices_Raw!C58</f>
        <v>Theta Health</v>
      </c>
      <c r="T58" s="1">
        <f>Invoices_Raw!D58</f>
        <v>46121</v>
      </c>
      <c r="U58">
        <f>Invoices_Raw!E58</f>
        <v>261600</v>
      </c>
      <c r="V58" s="1">
        <f>Invoices_Raw!F58</f>
        <v>46196</v>
      </c>
      <c r="W58" s="1" t="str">
        <f t="shared" si="6"/>
        <v>Paid</v>
      </c>
      <c r="X58">
        <f>IF(V58&lt;&gt;"",V58-T58,Summary!$B$1-T58)</f>
        <v>75</v>
      </c>
      <c r="Y58" t="str">
        <f t="shared" si="7"/>
        <v>61-90</v>
      </c>
    </row>
    <row r="59" spans="17:25" x14ac:dyDescent="0.2">
      <c r="Q59" t="str">
        <f>Invoices_Raw!A59</f>
        <v>INV058</v>
      </c>
      <c r="R59" t="str">
        <f>Invoices_Raw!B59</f>
        <v>C016</v>
      </c>
      <c r="S59" t="str">
        <f>Invoices_Raw!C59</f>
        <v>Epsilon Tech</v>
      </c>
      <c r="T59" s="1">
        <f>Invoices_Raw!D59</f>
        <v>45880</v>
      </c>
      <c r="U59">
        <f>Invoices_Raw!E59</f>
        <v>254700</v>
      </c>
      <c r="V59" s="1">
        <f>Invoices_Raw!F59</f>
        <v>45945</v>
      </c>
      <c r="W59" s="1" t="str">
        <f t="shared" si="6"/>
        <v>Paid</v>
      </c>
      <c r="X59">
        <f>IF(V59&lt;&gt;"",V59-T59,Summary!$B$1-T59)</f>
        <v>65</v>
      </c>
      <c r="Y59" t="str">
        <f t="shared" si="7"/>
        <v>61-90</v>
      </c>
    </row>
    <row r="60" spans="17:25" x14ac:dyDescent="0.2">
      <c r="Q60" t="str">
        <f>Invoices_Raw!A60</f>
        <v>INV059</v>
      </c>
      <c r="R60" t="str">
        <f>Invoices_Raw!B60</f>
        <v>C019</v>
      </c>
      <c r="S60" t="str">
        <f>Invoices_Raw!C60</f>
        <v>Theta Health</v>
      </c>
      <c r="T60" s="1">
        <f>Invoices_Raw!D60</f>
        <v>45683</v>
      </c>
      <c r="U60">
        <f>Invoices_Raw!E60</f>
        <v>145200</v>
      </c>
      <c r="V60" s="1"/>
      <c r="W60" s="1" t="str">
        <f t="shared" si="6"/>
        <v>Unpaid</v>
      </c>
      <c r="X60">
        <f>IF(V60&lt;&gt;"",V60-T60,Summary!$B$1-T60)</f>
        <v>704</v>
      </c>
      <c r="Y60" t="str">
        <f t="shared" si="7"/>
        <v>90+</v>
      </c>
    </row>
    <row r="61" spans="17:25" x14ac:dyDescent="0.2">
      <c r="Q61" t="str">
        <f>Invoices_Raw!A61</f>
        <v>INV060</v>
      </c>
      <c r="R61" t="str">
        <f>Invoices_Raw!B61</f>
        <v>C004</v>
      </c>
      <c r="S61" t="str">
        <f>Invoices_Raw!C61</f>
        <v>Alpha Health</v>
      </c>
      <c r="T61" s="1">
        <f>Invoices_Raw!D61</f>
        <v>46068</v>
      </c>
      <c r="U61">
        <f>Invoices_Raw!E61</f>
        <v>172600</v>
      </c>
      <c r="V61" s="1"/>
      <c r="W61" s="1" t="str">
        <f t="shared" si="6"/>
        <v>Unpaid</v>
      </c>
      <c r="X61">
        <f>IF(V61&lt;&gt;"",V61-T61,Summary!$B$1-T61)</f>
        <v>319</v>
      </c>
      <c r="Y61" t="str">
        <f t="shared" si="7"/>
        <v>90+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015C-D394-4645-AEA7-E61A45510E4D}">
  <dimension ref="A1:I24"/>
  <sheetViews>
    <sheetView workbookViewId="0">
      <selection activeCell="B6" sqref="B6"/>
    </sheetView>
  </sheetViews>
  <sheetFormatPr baseColWidth="10" defaultRowHeight="16" x14ac:dyDescent="0.2"/>
  <cols>
    <col min="1" max="1" width="15.83203125" bestFit="1" customWidth="1"/>
    <col min="2" max="2" width="11.6640625" bestFit="1" customWidth="1"/>
    <col min="3" max="3" width="17.1640625" bestFit="1" customWidth="1"/>
    <col min="4" max="4" width="11.5" bestFit="1" customWidth="1"/>
    <col min="5" max="5" width="6.1640625" bestFit="1" customWidth="1"/>
    <col min="6" max="6" width="12" bestFit="1" customWidth="1"/>
    <col min="7" max="7" width="13.5" bestFit="1" customWidth="1"/>
  </cols>
  <sheetData>
    <row r="1" spans="1:9" x14ac:dyDescent="0.2">
      <c r="A1" t="s">
        <v>134</v>
      </c>
      <c r="B1" s="10">
        <v>46387</v>
      </c>
    </row>
    <row r="3" spans="1:9" x14ac:dyDescent="0.2">
      <c r="A3" t="s">
        <v>135</v>
      </c>
      <c r="B3" s="11">
        <f>AVERAGEIF(Calculations!W2:W61,"Paid",Calculations!X2:X61)</f>
        <v>60.387755102040813</v>
      </c>
    </row>
    <row r="5" spans="1:9" x14ac:dyDescent="0.2">
      <c r="A5" t="s">
        <v>136</v>
      </c>
      <c r="B5" t="s">
        <v>130</v>
      </c>
      <c r="C5" t="s">
        <v>137</v>
      </c>
      <c r="D5" t="s">
        <v>135</v>
      </c>
    </row>
    <row r="6" spans="1:9" x14ac:dyDescent="0.2">
      <c r="A6" s="8">
        <f>SUM(Calculations!H2:H31)</f>
        <v>16394500</v>
      </c>
      <c r="B6" s="4">
        <f>SUM(Calculations!N2:N31)/SUM(Calculations!H2:H31)</f>
        <v>0.41963127878251855</v>
      </c>
      <c r="C6" s="4">
        <f>AVERAGE(Calculations!K2:K31)</f>
        <v>0.94394287379120567</v>
      </c>
      <c r="D6" s="12">
        <f>AVERAGEIF(
    Calculations!W2:W61,
    "Paid",
    Calculations!X2:X61
)</f>
        <v>60.387755102040813</v>
      </c>
    </row>
    <row r="8" spans="1:9" x14ac:dyDescent="0.2">
      <c r="A8" t="s">
        <v>118</v>
      </c>
      <c r="B8" t="s">
        <v>130</v>
      </c>
      <c r="D8" t="s">
        <v>138</v>
      </c>
      <c r="E8" t="s">
        <v>1</v>
      </c>
      <c r="F8" t="s">
        <v>118</v>
      </c>
      <c r="G8" t="s">
        <v>139</v>
      </c>
    </row>
    <row r="9" spans="1:9" x14ac:dyDescent="0.2">
      <c r="A9" t="s">
        <v>13</v>
      </c>
      <c r="B9" s="4">
        <f>SUMIF(
    Calculations!$C$2:$C$31,
    A9,
    Calculations!$N$2:$N$31
)
/
SUMIF(
    Calculations!$C$2:$C$31,
    A9,
    Calculations!$H$2:$H$31
)</f>
        <v>0.45633638485011668</v>
      </c>
      <c r="D9" t="str" cm="1">
        <f t="array" ref="D9:I18">_xlfn.TAKE(
    _xlfn.SORTBY(
        Calculations!A2:F31,
        Calculations!F2:F31,
        -1
    ),
    10
)</f>
        <v>C001</v>
      </c>
      <c r="E9" t="str">
        <v>Alpha Health</v>
      </c>
      <c r="F9" t="str">
        <v>Financial Services</v>
      </c>
      <c r="G9">
        <v>1092</v>
      </c>
      <c r="H9">
        <v>1441</v>
      </c>
      <c r="I9">
        <v>0.31959706959706957</v>
      </c>
    </row>
    <row r="10" spans="1:9" x14ac:dyDescent="0.2">
      <c r="A10" t="s">
        <v>18</v>
      </c>
      <c r="B10" s="4">
        <f>SUMIF(
    Calculations!$C$2:$C$31,
    A10,
    Calculations!$N$2:$N$31
)
/
SUMIF(
    Calculations!$C$2:$C$31,
    A10,
    Calculations!$H$2:$H$31
)</f>
        <v>0.33829174035501408</v>
      </c>
      <c r="D10" t="str">
        <v>C005</v>
      </c>
      <c r="E10" t="str">
        <v>Gamma Energy</v>
      </c>
      <c r="F10" t="str">
        <v>Healthcare</v>
      </c>
      <c r="G10">
        <v>878</v>
      </c>
      <c r="H10">
        <v>1134</v>
      </c>
      <c r="I10">
        <v>0.29157175398633256</v>
      </c>
    </row>
    <row r="11" spans="1:9" x14ac:dyDescent="0.2">
      <c r="A11" t="s">
        <v>30</v>
      </c>
      <c r="B11" s="4">
        <f>SUMIF(
    Calculations!$C$2:$C$31,
    A11,
    Calculations!$N$2:$N$31
)
/
SUMIF(
    Calculations!$C$2:$C$31,
    A11,
    Calculations!$H$2:$H$31
)</f>
        <v>0.42761567263974326</v>
      </c>
      <c r="D11" t="str">
        <v>C020</v>
      </c>
      <c r="E11" t="str">
        <v>Gamma Energy</v>
      </c>
      <c r="F11" t="str">
        <v>Healthcare</v>
      </c>
      <c r="G11">
        <v>1183</v>
      </c>
      <c r="H11">
        <v>1485</v>
      </c>
      <c r="I11">
        <v>0.25528317836010145</v>
      </c>
    </row>
    <row r="12" spans="1:9" x14ac:dyDescent="0.2">
      <c r="A12" t="s">
        <v>16</v>
      </c>
      <c r="B12" s="4">
        <f>SUMIF(
    Calculations!$C$2:$C$31,
    A12,
    Calculations!$N$2:$N$31
)
/
SUMIF(
    Calculations!$C$2:$C$31,
    A12,
    Calculations!$H$2:$H$31
)</f>
        <v>0.43493889288281812</v>
      </c>
      <c r="D12" t="str">
        <v>C019</v>
      </c>
      <c r="E12" t="str">
        <v>Theta Health</v>
      </c>
      <c r="F12" t="str">
        <v>Healthcare</v>
      </c>
      <c r="G12">
        <v>598</v>
      </c>
      <c r="H12">
        <v>734</v>
      </c>
      <c r="I12">
        <v>0.22742474916387959</v>
      </c>
    </row>
    <row r="13" spans="1:9" x14ac:dyDescent="0.2">
      <c r="D13" t="str">
        <v>C022</v>
      </c>
      <c r="E13" t="str">
        <v>Epsilon Tech</v>
      </c>
      <c r="F13" t="str">
        <v>Healthcare</v>
      </c>
      <c r="G13">
        <v>1460</v>
      </c>
      <c r="H13">
        <v>1759</v>
      </c>
      <c r="I13">
        <v>0.2047945205479452</v>
      </c>
    </row>
    <row r="14" spans="1:9" x14ac:dyDescent="0.2">
      <c r="D14" t="str">
        <v>C004</v>
      </c>
      <c r="E14" t="str">
        <v>Alpha Health</v>
      </c>
      <c r="F14" t="str">
        <v>Healthcare</v>
      </c>
      <c r="G14">
        <v>788</v>
      </c>
      <c r="H14">
        <v>946</v>
      </c>
      <c r="I14">
        <v>0.20050761421319796</v>
      </c>
    </row>
    <row r="15" spans="1:9" x14ac:dyDescent="0.2">
      <c r="A15" t="s">
        <v>140</v>
      </c>
      <c r="D15" t="str">
        <v>C013</v>
      </c>
      <c r="E15" t="str">
        <v>Gamma Energy</v>
      </c>
      <c r="F15" t="str">
        <v>Healthcare</v>
      </c>
      <c r="G15">
        <v>1429</v>
      </c>
      <c r="H15">
        <v>1713</v>
      </c>
      <c r="I15">
        <v>0.19874037788663401</v>
      </c>
    </row>
    <row r="16" spans="1:9" x14ac:dyDescent="0.2">
      <c r="A16" t="s">
        <v>141</v>
      </c>
      <c r="D16" t="str">
        <v>C025</v>
      </c>
      <c r="E16" t="str">
        <v>Delta Retail</v>
      </c>
      <c r="F16" t="str">
        <v>Consumer</v>
      </c>
      <c r="G16">
        <v>1142</v>
      </c>
      <c r="H16">
        <v>1315</v>
      </c>
      <c r="I16">
        <v>0.15148861646234676</v>
      </c>
    </row>
    <row r="17" spans="1:9" x14ac:dyDescent="0.2">
      <c r="D17" t="str">
        <v>C016</v>
      </c>
      <c r="E17" t="str">
        <v>Epsilon Tech</v>
      </c>
      <c r="F17" t="str">
        <v>Technology</v>
      </c>
      <c r="G17">
        <v>1002</v>
      </c>
      <c r="H17">
        <v>1145</v>
      </c>
      <c r="I17">
        <v>0.14271457085828343</v>
      </c>
    </row>
    <row r="18" spans="1:9" x14ac:dyDescent="0.2">
      <c r="D18" t="str">
        <v>C006</v>
      </c>
      <c r="E18" t="str">
        <v>Theta Health</v>
      </c>
      <c r="F18" t="str">
        <v>Financial Services</v>
      </c>
      <c r="G18">
        <v>730</v>
      </c>
      <c r="H18">
        <v>827</v>
      </c>
      <c r="I18">
        <v>0.13287671232876713</v>
      </c>
    </row>
    <row r="20" spans="1:9" x14ac:dyDescent="0.2">
      <c r="A20" s="13" t="s">
        <v>142</v>
      </c>
      <c r="B20" s="13" t="s">
        <v>143</v>
      </c>
    </row>
    <row r="21" spans="1:9" x14ac:dyDescent="0.2">
      <c r="A21" t="s">
        <v>144</v>
      </c>
      <c r="B21">
        <f>SUMIF(
    Calculations!$Y$2:$Y$61,
    A20,
    Calculations!$U$2:$U$61
)</f>
        <v>0</v>
      </c>
    </row>
    <row r="22" spans="1:9" x14ac:dyDescent="0.2">
      <c r="A22" t="s">
        <v>145</v>
      </c>
      <c r="B22">
        <f>SUMIF(
    Calculations!$Y$2:$Y$61,
    A21,
    Calculations!$U$2:$U$61
)</f>
        <v>0</v>
      </c>
    </row>
    <row r="23" spans="1:9" x14ac:dyDescent="0.2">
      <c r="A23" t="s">
        <v>146</v>
      </c>
      <c r="B23">
        <f>SUMIF(
    Calculations!$Y$2:$Y$61,
    A22,
    Calculations!$U$2:$U$61
)</f>
        <v>0</v>
      </c>
    </row>
    <row r="24" spans="1:9" x14ac:dyDescent="0.2">
      <c r="A24" t="s">
        <v>147</v>
      </c>
      <c r="B24">
        <f>SUMIF(
    Calculations!$Y$2:$Y$61,
    A23,
    Calculations!$U$2:$U$61
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Cases_Raw</vt:lpstr>
      <vt:lpstr>Invoices_Raw</vt:lpstr>
      <vt:lpstr>Calculations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 Anokyewaah</dc:creator>
  <cp:lastModifiedBy>Jacqueline Anokyewaah</cp:lastModifiedBy>
  <dcterms:created xsi:type="dcterms:W3CDTF">2026-08-24T17:42:10Z</dcterms:created>
  <dcterms:modified xsi:type="dcterms:W3CDTF">2026-08-27T00:17:00Z</dcterms:modified>
</cp:coreProperties>
</file>